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Portfolio PROJECTS\Trading Signal Generator Project\"/>
    </mc:Choice>
  </mc:AlternateContent>
  <xr:revisionPtr revIDLastSave="0" documentId="13_ncr:1_{2EAF82B8-8B85-4B67-8F17-CE6210C08B66}" xr6:coauthVersionLast="47" xr6:coauthVersionMax="47" xr10:uidLastSave="{00000000-0000-0000-0000-000000000000}"/>
  <bookViews>
    <workbookView xWindow="-120" yWindow="-120" windowWidth="20730" windowHeight="11160" xr2:uid="{44B3E64A-BC19-4E23-8E3C-8725D957316E}"/>
  </bookViews>
  <sheets>
    <sheet name="spy_with_ma" sheetId="1" r:id="rId1"/>
    <sheet name="Trade Log" sheetId="2" r:id="rId2"/>
    <sheet name="README" sheetId="3" r:id="rId3"/>
  </sheets>
  <definedNames>
    <definedName name="_xlnm._FilterDatabase" localSheetId="0" hidden="1">spy_with_ma!$A$1:$H$1257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K2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34" i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3" i="2"/>
  <c r="G3" i="2" s="1"/>
  <c r="F2" i="2"/>
  <c r="G2" i="2" s="1"/>
  <c r="G2" i="1"/>
  <c r="E3" i="1"/>
  <c r="F3" i="1" s="1"/>
  <c r="G3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9" i="1"/>
  <c r="E40" i="1"/>
  <c r="E41" i="1"/>
  <c r="E42" i="1"/>
  <c r="E43" i="1"/>
  <c r="E44" i="1"/>
  <c r="E45" i="1"/>
  <c r="E46" i="1"/>
  <c r="E47" i="1"/>
  <c r="E48" i="1"/>
  <c r="E49" i="1"/>
  <c r="E51" i="1"/>
  <c r="F51" i="1" s="1"/>
  <c r="G51" i="1" s="1"/>
  <c r="E52" i="1"/>
  <c r="F52" i="1" s="1"/>
  <c r="G52" i="1" s="1"/>
  <c r="E53" i="1"/>
  <c r="F53" i="1" s="1"/>
  <c r="G53" i="1" s="1"/>
  <c r="E54" i="1"/>
  <c r="F54" i="1" s="1"/>
  <c r="G54" i="1" s="1"/>
  <c r="E55" i="1"/>
  <c r="F55" i="1" s="1"/>
  <c r="G55" i="1" s="1"/>
  <c r="E56" i="1"/>
  <c r="F56" i="1" s="1"/>
  <c r="G56" i="1" s="1"/>
  <c r="E57" i="1"/>
  <c r="F57" i="1" s="1"/>
  <c r="G57" i="1" s="1"/>
  <c r="E58" i="1"/>
  <c r="F58" i="1" s="1"/>
  <c r="G58" i="1" s="1"/>
  <c r="E59" i="1"/>
  <c r="F59" i="1" s="1"/>
  <c r="G59" i="1" s="1"/>
  <c r="E60" i="1"/>
  <c r="F60" i="1" s="1"/>
  <c r="G60" i="1" s="1"/>
  <c r="E61" i="1"/>
  <c r="F61" i="1" s="1"/>
  <c r="G61" i="1" s="1"/>
  <c r="E62" i="1"/>
  <c r="F62" i="1" s="1"/>
  <c r="G62" i="1" s="1"/>
  <c r="E63" i="1"/>
  <c r="F63" i="1" s="1"/>
  <c r="G63" i="1" s="1"/>
  <c r="E64" i="1"/>
  <c r="F64" i="1" s="1"/>
  <c r="G64" i="1" s="1"/>
  <c r="E65" i="1"/>
  <c r="F65" i="1" s="1"/>
  <c r="G65" i="1" s="1"/>
  <c r="E66" i="1"/>
  <c r="E67" i="1"/>
  <c r="F67" i="1" s="1"/>
  <c r="G67" i="1" s="1"/>
  <c r="E68" i="1"/>
  <c r="E69" i="1"/>
  <c r="E70" i="1"/>
  <c r="E71" i="1"/>
  <c r="F71" i="1" s="1"/>
  <c r="G71" i="1" s="1"/>
  <c r="E72" i="1"/>
  <c r="E73" i="1"/>
  <c r="E74" i="1"/>
  <c r="E75" i="1"/>
  <c r="E76" i="1"/>
  <c r="F76" i="1" s="1"/>
  <c r="G76" i="1" s="1"/>
  <c r="E77" i="1"/>
  <c r="F77" i="1" s="1"/>
  <c r="G77" i="1" s="1"/>
  <c r="E78" i="1"/>
  <c r="F78" i="1" s="1"/>
  <c r="G78" i="1" s="1"/>
  <c r="E79" i="1"/>
  <c r="F79" i="1" s="1"/>
  <c r="G79" i="1" s="1"/>
  <c r="E80" i="1"/>
  <c r="F80" i="1" s="1"/>
  <c r="G80" i="1" s="1"/>
  <c r="E81" i="1"/>
  <c r="F81" i="1" s="1"/>
  <c r="G81" i="1" s="1"/>
  <c r="E82" i="1"/>
  <c r="F82" i="1" s="1"/>
  <c r="G82" i="1" s="1"/>
  <c r="E83" i="1"/>
  <c r="F83" i="1" s="1"/>
  <c r="G83" i="1" s="1"/>
  <c r="E84" i="1"/>
  <c r="F84" i="1" s="1"/>
  <c r="G84" i="1" s="1"/>
  <c r="E85" i="1"/>
  <c r="F85" i="1" s="1"/>
  <c r="G85" i="1" s="1"/>
  <c r="E86" i="1"/>
  <c r="F86" i="1" s="1"/>
  <c r="G86" i="1" s="1"/>
  <c r="E87" i="1"/>
  <c r="F87" i="1" s="1"/>
  <c r="G87" i="1" s="1"/>
  <c r="E88" i="1"/>
  <c r="F88" i="1" s="1"/>
  <c r="G88" i="1" s="1"/>
  <c r="E89" i="1"/>
  <c r="F89" i="1" s="1"/>
  <c r="G89" i="1" s="1"/>
  <c r="E90" i="1"/>
  <c r="F90" i="1" s="1"/>
  <c r="G90" i="1" s="1"/>
  <c r="E91" i="1"/>
  <c r="F91" i="1" s="1"/>
  <c r="G91" i="1" s="1"/>
  <c r="E92" i="1"/>
  <c r="F92" i="1" s="1"/>
  <c r="G92" i="1" s="1"/>
  <c r="E93" i="1"/>
  <c r="F93" i="1" s="1"/>
  <c r="G93" i="1" s="1"/>
  <c r="E94" i="1"/>
  <c r="F94" i="1" s="1"/>
  <c r="G94" i="1" s="1"/>
  <c r="E95" i="1"/>
  <c r="F95" i="1" s="1"/>
  <c r="G95" i="1" s="1"/>
  <c r="E96" i="1"/>
  <c r="F96" i="1" s="1"/>
  <c r="G96" i="1" s="1"/>
  <c r="E97" i="1"/>
  <c r="F97" i="1" s="1"/>
  <c r="G97" i="1" s="1"/>
  <c r="E98" i="1"/>
  <c r="F98" i="1" s="1"/>
  <c r="G98" i="1" s="1"/>
  <c r="E99" i="1"/>
  <c r="F99" i="1" s="1"/>
  <c r="G99" i="1" s="1"/>
  <c r="E100" i="1"/>
  <c r="F100" i="1" s="1"/>
  <c r="G100" i="1" s="1"/>
  <c r="E101" i="1"/>
  <c r="F101" i="1" s="1"/>
  <c r="G101" i="1" s="1"/>
  <c r="E102" i="1"/>
  <c r="F102" i="1" s="1"/>
  <c r="G102" i="1" s="1"/>
  <c r="E103" i="1"/>
  <c r="F103" i="1" s="1"/>
  <c r="G103" i="1" s="1"/>
  <c r="E104" i="1"/>
  <c r="F104" i="1" s="1"/>
  <c r="G104" i="1" s="1"/>
  <c r="E105" i="1"/>
  <c r="F105" i="1" s="1"/>
  <c r="G105" i="1" s="1"/>
  <c r="E106" i="1"/>
  <c r="F106" i="1" s="1"/>
  <c r="G106" i="1" s="1"/>
  <c r="E107" i="1"/>
  <c r="F107" i="1" s="1"/>
  <c r="G107" i="1" s="1"/>
  <c r="E108" i="1"/>
  <c r="F108" i="1" s="1"/>
  <c r="G108" i="1" s="1"/>
  <c r="E109" i="1"/>
  <c r="F109" i="1" s="1"/>
  <c r="G109" i="1" s="1"/>
  <c r="E110" i="1"/>
  <c r="F110" i="1" s="1"/>
  <c r="G110" i="1" s="1"/>
  <c r="E111" i="1"/>
  <c r="F111" i="1" s="1"/>
  <c r="G111" i="1" s="1"/>
  <c r="E112" i="1"/>
  <c r="F112" i="1" s="1"/>
  <c r="G112" i="1" s="1"/>
  <c r="E113" i="1"/>
  <c r="F113" i="1" s="1"/>
  <c r="G113" i="1" s="1"/>
  <c r="E114" i="1"/>
  <c r="F114" i="1" s="1"/>
  <c r="G114" i="1" s="1"/>
  <c r="E115" i="1"/>
  <c r="F115" i="1" s="1"/>
  <c r="G115" i="1" s="1"/>
  <c r="E116" i="1"/>
  <c r="F116" i="1" s="1"/>
  <c r="G116" i="1" s="1"/>
  <c r="E117" i="1"/>
  <c r="F117" i="1" s="1"/>
  <c r="G117" i="1" s="1"/>
  <c r="E118" i="1"/>
  <c r="F118" i="1" s="1"/>
  <c r="G118" i="1" s="1"/>
  <c r="E119" i="1"/>
  <c r="F119" i="1" s="1"/>
  <c r="G119" i="1" s="1"/>
  <c r="E120" i="1"/>
  <c r="E121" i="1"/>
  <c r="F121" i="1" s="1"/>
  <c r="G121" i="1" s="1"/>
  <c r="E122" i="1"/>
  <c r="F122" i="1" s="1"/>
  <c r="G122" i="1" s="1"/>
  <c r="E123" i="1"/>
  <c r="F123" i="1" s="1"/>
  <c r="G123" i="1" s="1"/>
  <c r="E124" i="1"/>
  <c r="E125" i="1"/>
  <c r="F125" i="1" s="1"/>
  <c r="G125" i="1" s="1"/>
  <c r="E126" i="1"/>
  <c r="E127" i="1"/>
  <c r="E128" i="1"/>
  <c r="E129" i="1"/>
  <c r="E130" i="1"/>
  <c r="E131" i="1"/>
  <c r="E132" i="1"/>
  <c r="E133" i="1"/>
  <c r="E134" i="1"/>
  <c r="F134" i="1" s="1"/>
  <c r="G134" i="1" s="1"/>
  <c r="E135" i="1"/>
  <c r="F135" i="1" s="1"/>
  <c r="G135" i="1" s="1"/>
  <c r="E136" i="1"/>
  <c r="F136" i="1" s="1"/>
  <c r="G136" i="1" s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F149" i="1" s="1"/>
  <c r="G149" i="1" s="1"/>
  <c r="E150" i="1"/>
  <c r="F150" i="1" s="1"/>
  <c r="G150" i="1" s="1"/>
  <c r="E151" i="1"/>
  <c r="F151" i="1" s="1"/>
  <c r="G151" i="1" s="1"/>
  <c r="E152" i="1"/>
  <c r="F152" i="1" s="1"/>
  <c r="G152" i="1" s="1"/>
  <c r="E153" i="1"/>
  <c r="E154" i="1"/>
  <c r="E155" i="1"/>
  <c r="E156" i="1"/>
  <c r="E157" i="1"/>
  <c r="E158" i="1"/>
  <c r="F158" i="1" s="1"/>
  <c r="G158" i="1" s="1"/>
  <c r="E159" i="1"/>
  <c r="F159" i="1" s="1"/>
  <c r="G159" i="1" s="1"/>
  <c r="E160" i="1"/>
  <c r="F160" i="1" s="1"/>
  <c r="G160" i="1" s="1"/>
  <c r="E161" i="1"/>
  <c r="F161" i="1" s="1"/>
  <c r="G161" i="1" s="1"/>
  <c r="E162" i="1"/>
  <c r="F162" i="1" s="1"/>
  <c r="G162" i="1" s="1"/>
  <c r="E163" i="1"/>
  <c r="F163" i="1" s="1"/>
  <c r="G163" i="1" s="1"/>
  <c r="E164" i="1"/>
  <c r="F164" i="1" s="1"/>
  <c r="G164" i="1" s="1"/>
  <c r="E165" i="1"/>
  <c r="F165" i="1" s="1"/>
  <c r="G165" i="1" s="1"/>
  <c r="E166" i="1"/>
  <c r="F166" i="1" s="1"/>
  <c r="G166" i="1" s="1"/>
  <c r="E167" i="1"/>
  <c r="F167" i="1" s="1"/>
  <c r="G167" i="1" s="1"/>
  <c r="E168" i="1"/>
  <c r="F168" i="1" s="1"/>
  <c r="G168" i="1" s="1"/>
  <c r="E169" i="1"/>
  <c r="F169" i="1" s="1"/>
  <c r="G169" i="1" s="1"/>
  <c r="E170" i="1"/>
  <c r="F170" i="1" s="1"/>
  <c r="G170" i="1" s="1"/>
  <c r="E171" i="1"/>
  <c r="F171" i="1" s="1"/>
  <c r="G171" i="1" s="1"/>
  <c r="E172" i="1"/>
  <c r="F172" i="1" s="1"/>
  <c r="G172" i="1" s="1"/>
  <c r="E173" i="1"/>
  <c r="F173" i="1" s="1"/>
  <c r="G173" i="1" s="1"/>
  <c r="E174" i="1"/>
  <c r="F174" i="1" s="1"/>
  <c r="G174" i="1" s="1"/>
  <c r="E175" i="1"/>
  <c r="F175" i="1" s="1"/>
  <c r="G175" i="1" s="1"/>
  <c r="E176" i="1"/>
  <c r="F176" i="1" s="1"/>
  <c r="G176" i="1" s="1"/>
  <c r="E177" i="1"/>
  <c r="F177" i="1" s="1"/>
  <c r="G177" i="1" s="1"/>
  <c r="E178" i="1"/>
  <c r="F178" i="1" s="1"/>
  <c r="G178" i="1" s="1"/>
  <c r="E179" i="1"/>
  <c r="F179" i="1" s="1"/>
  <c r="G179" i="1" s="1"/>
  <c r="E180" i="1"/>
  <c r="F180" i="1" s="1"/>
  <c r="G180" i="1" s="1"/>
  <c r="E181" i="1"/>
  <c r="F181" i="1" s="1"/>
  <c r="G181" i="1" s="1"/>
  <c r="E182" i="1"/>
  <c r="F182" i="1" s="1"/>
  <c r="G182" i="1" s="1"/>
  <c r="E183" i="1"/>
  <c r="F183" i="1" s="1"/>
  <c r="G183" i="1" s="1"/>
  <c r="E184" i="1"/>
  <c r="F184" i="1" s="1"/>
  <c r="G184" i="1" s="1"/>
  <c r="E185" i="1"/>
  <c r="F185" i="1" s="1"/>
  <c r="G185" i="1" s="1"/>
  <c r="E186" i="1"/>
  <c r="F186" i="1" s="1"/>
  <c r="G186" i="1" s="1"/>
  <c r="E187" i="1"/>
  <c r="F187" i="1" s="1"/>
  <c r="G187" i="1" s="1"/>
  <c r="E188" i="1"/>
  <c r="F188" i="1" s="1"/>
  <c r="G188" i="1" s="1"/>
  <c r="E189" i="1"/>
  <c r="F189" i="1" s="1"/>
  <c r="G189" i="1" s="1"/>
  <c r="E190" i="1"/>
  <c r="F190" i="1" s="1"/>
  <c r="G190" i="1" s="1"/>
  <c r="E191" i="1"/>
  <c r="F191" i="1" s="1"/>
  <c r="G191" i="1" s="1"/>
  <c r="E192" i="1"/>
  <c r="F192" i="1" s="1"/>
  <c r="G192" i="1" s="1"/>
  <c r="E193" i="1"/>
  <c r="F193" i="1" s="1"/>
  <c r="G193" i="1" s="1"/>
  <c r="E194" i="1"/>
  <c r="F194" i="1" s="1"/>
  <c r="G194" i="1" s="1"/>
  <c r="E195" i="1"/>
  <c r="F195" i="1" s="1"/>
  <c r="G195" i="1" s="1"/>
  <c r="E196" i="1"/>
  <c r="F196" i="1" s="1"/>
  <c r="G196" i="1" s="1"/>
  <c r="E197" i="1"/>
  <c r="F197" i="1" s="1"/>
  <c r="G197" i="1" s="1"/>
  <c r="E198" i="1"/>
  <c r="F198" i="1" s="1"/>
  <c r="G198" i="1" s="1"/>
  <c r="E199" i="1"/>
  <c r="F199" i="1" s="1"/>
  <c r="G199" i="1" s="1"/>
  <c r="E200" i="1"/>
  <c r="F200" i="1" s="1"/>
  <c r="G200" i="1" s="1"/>
  <c r="E201" i="1"/>
  <c r="F201" i="1" s="1"/>
  <c r="G201" i="1" s="1"/>
  <c r="E202" i="1"/>
  <c r="F202" i="1" s="1"/>
  <c r="G202" i="1" s="1"/>
  <c r="E203" i="1"/>
  <c r="F203" i="1" s="1"/>
  <c r="G203" i="1" s="1"/>
  <c r="E204" i="1"/>
  <c r="F204" i="1" s="1"/>
  <c r="G204" i="1" s="1"/>
  <c r="E205" i="1"/>
  <c r="F205" i="1" s="1"/>
  <c r="G205" i="1" s="1"/>
  <c r="E206" i="1"/>
  <c r="F206" i="1" s="1"/>
  <c r="G206" i="1" s="1"/>
  <c r="E207" i="1"/>
  <c r="F207" i="1" s="1"/>
  <c r="G207" i="1" s="1"/>
  <c r="E208" i="1"/>
  <c r="F208" i="1" s="1"/>
  <c r="G208" i="1" s="1"/>
  <c r="E209" i="1"/>
  <c r="F209" i="1" s="1"/>
  <c r="G209" i="1" s="1"/>
  <c r="E210" i="1"/>
  <c r="F210" i="1" s="1"/>
  <c r="G210" i="1" s="1"/>
  <c r="E211" i="1"/>
  <c r="F211" i="1" s="1"/>
  <c r="G211" i="1" s="1"/>
  <c r="E212" i="1"/>
  <c r="F212" i="1" s="1"/>
  <c r="G212" i="1" s="1"/>
  <c r="E213" i="1"/>
  <c r="F213" i="1" s="1"/>
  <c r="G213" i="1" s="1"/>
  <c r="E214" i="1"/>
  <c r="F214" i="1" s="1"/>
  <c r="G214" i="1" s="1"/>
  <c r="E215" i="1"/>
  <c r="F215" i="1" s="1"/>
  <c r="G215" i="1" s="1"/>
  <c r="E216" i="1"/>
  <c r="F216" i="1" s="1"/>
  <c r="G216" i="1" s="1"/>
  <c r="E217" i="1"/>
  <c r="F217" i="1" s="1"/>
  <c r="G217" i="1" s="1"/>
  <c r="E218" i="1"/>
  <c r="F218" i="1" s="1"/>
  <c r="G218" i="1" s="1"/>
  <c r="E219" i="1"/>
  <c r="F219" i="1" s="1"/>
  <c r="G219" i="1" s="1"/>
  <c r="E220" i="1"/>
  <c r="F220" i="1" s="1"/>
  <c r="G220" i="1" s="1"/>
  <c r="E221" i="1"/>
  <c r="F221" i="1" s="1"/>
  <c r="G221" i="1" s="1"/>
  <c r="E222" i="1"/>
  <c r="F222" i="1" s="1"/>
  <c r="G222" i="1" s="1"/>
  <c r="E223" i="1"/>
  <c r="F223" i="1" s="1"/>
  <c r="G223" i="1" s="1"/>
  <c r="E224" i="1"/>
  <c r="F224" i="1" s="1"/>
  <c r="G224" i="1" s="1"/>
  <c r="E225" i="1"/>
  <c r="F225" i="1" s="1"/>
  <c r="G225" i="1" s="1"/>
  <c r="E226" i="1"/>
  <c r="F226" i="1" s="1"/>
  <c r="G226" i="1" s="1"/>
  <c r="E227" i="1"/>
  <c r="F227" i="1" s="1"/>
  <c r="G227" i="1" s="1"/>
  <c r="E228" i="1"/>
  <c r="F228" i="1" s="1"/>
  <c r="G228" i="1" s="1"/>
  <c r="E229" i="1"/>
  <c r="F229" i="1" s="1"/>
  <c r="G229" i="1" s="1"/>
  <c r="E230" i="1"/>
  <c r="F230" i="1" s="1"/>
  <c r="G230" i="1" s="1"/>
  <c r="E231" i="1"/>
  <c r="F231" i="1" s="1"/>
  <c r="G231" i="1" s="1"/>
  <c r="E232" i="1"/>
  <c r="F232" i="1" s="1"/>
  <c r="G232" i="1" s="1"/>
  <c r="E233" i="1"/>
  <c r="F233" i="1" s="1"/>
  <c r="G233" i="1" s="1"/>
  <c r="E234" i="1"/>
  <c r="F234" i="1" s="1"/>
  <c r="G234" i="1" s="1"/>
  <c r="E235" i="1"/>
  <c r="F235" i="1" s="1"/>
  <c r="G235" i="1" s="1"/>
  <c r="E236" i="1"/>
  <c r="F236" i="1" s="1"/>
  <c r="G236" i="1" s="1"/>
  <c r="E237" i="1"/>
  <c r="F237" i="1" s="1"/>
  <c r="G237" i="1" s="1"/>
  <c r="E238" i="1"/>
  <c r="F238" i="1" s="1"/>
  <c r="E239" i="1"/>
  <c r="E240" i="1"/>
  <c r="E241" i="1"/>
  <c r="E242" i="1"/>
  <c r="E243" i="1"/>
  <c r="F243" i="1" s="1"/>
  <c r="G243" i="1" s="1"/>
  <c r="E244" i="1"/>
  <c r="F244" i="1" s="1"/>
  <c r="G244" i="1" s="1"/>
  <c r="E245" i="1"/>
  <c r="F245" i="1" s="1"/>
  <c r="G245" i="1" s="1"/>
  <c r="E246" i="1"/>
  <c r="F246" i="1" s="1"/>
  <c r="G246" i="1" s="1"/>
  <c r="E247" i="1"/>
  <c r="F247" i="1" s="1"/>
  <c r="G247" i="1" s="1"/>
  <c r="E248" i="1"/>
  <c r="F248" i="1" s="1"/>
  <c r="G248" i="1" s="1"/>
  <c r="E249" i="1"/>
  <c r="F249" i="1" s="1"/>
  <c r="G249" i="1" s="1"/>
  <c r="E250" i="1"/>
  <c r="E251" i="1"/>
  <c r="F251" i="1" s="1"/>
  <c r="G251" i="1" s="1"/>
  <c r="E252" i="1"/>
  <c r="F252" i="1" s="1"/>
  <c r="G252" i="1" s="1"/>
  <c r="E253" i="1"/>
  <c r="F253" i="1" s="1"/>
  <c r="G253" i="1" s="1"/>
  <c r="E254" i="1"/>
  <c r="E255" i="1"/>
  <c r="F255" i="1" s="1"/>
  <c r="G255" i="1" s="1"/>
  <c r="E256" i="1"/>
  <c r="F256" i="1" s="1"/>
  <c r="G256" i="1" s="1"/>
  <c r="E257" i="1"/>
  <c r="F257" i="1" s="1"/>
  <c r="G257" i="1" s="1"/>
  <c r="E258" i="1"/>
  <c r="F258" i="1" s="1"/>
  <c r="G258" i="1" s="1"/>
  <c r="E259" i="1"/>
  <c r="F259" i="1" s="1"/>
  <c r="G259" i="1" s="1"/>
  <c r="E260" i="1"/>
  <c r="F260" i="1" s="1"/>
  <c r="G260" i="1" s="1"/>
  <c r="E261" i="1"/>
  <c r="F261" i="1" s="1"/>
  <c r="G261" i="1" s="1"/>
  <c r="E262" i="1"/>
  <c r="F262" i="1" s="1"/>
  <c r="G262" i="1" s="1"/>
  <c r="E263" i="1"/>
  <c r="F263" i="1" s="1"/>
  <c r="G263" i="1" s="1"/>
  <c r="E264" i="1"/>
  <c r="F264" i="1" s="1"/>
  <c r="G264" i="1" s="1"/>
  <c r="E265" i="1"/>
  <c r="F265" i="1" s="1"/>
  <c r="G265" i="1" s="1"/>
  <c r="E266" i="1"/>
  <c r="F266" i="1" s="1"/>
  <c r="G266" i="1" s="1"/>
  <c r="E267" i="1"/>
  <c r="F267" i="1" s="1"/>
  <c r="G267" i="1" s="1"/>
  <c r="E268" i="1"/>
  <c r="F268" i="1" s="1"/>
  <c r="G268" i="1" s="1"/>
  <c r="E269" i="1"/>
  <c r="F269" i="1" s="1"/>
  <c r="G269" i="1" s="1"/>
  <c r="E270" i="1"/>
  <c r="F270" i="1" s="1"/>
  <c r="G270" i="1" s="1"/>
  <c r="E271" i="1"/>
  <c r="F271" i="1" s="1"/>
  <c r="G271" i="1" s="1"/>
  <c r="E272" i="1"/>
  <c r="F272" i="1" s="1"/>
  <c r="G272" i="1" s="1"/>
  <c r="E273" i="1"/>
  <c r="F273" i="1" s="1"/>
  <c r="G273" i="1" s="1"/>
  <c r="E274" i="1"/>
  <c r="F274" i="1" s="1"/>
  <c r="G274" i="1" s="1"/>
  <c r="E275" i="1"/>
  <c r="F275" i="1" s="1"/>
  <c r="G275" i="1" s="1"/>
  <c r="E276" i="1"/>
  <c r="F276" i="1" s="1"/>
  <c r="G276" i="1" s="1"/>
  <c r="E277" i="1"/>
  <c r="F277" i="1" s="1"/>
  <c r="G277" i="1" s="1"/>
  <c r="E278" i="1"/>
  <c r="F278" i="1" s="1"/>
  <c r="G278" i="1" s="1"/>
  <c r="E279" i="1"/>
  <c r="F279" i="1" s="1"/>
  <c r="G279" i="1" s="1"/>
  <c r="E280" i="1"/>
  <c r="F280" i="1" s="1"/>
  <c r="G280" i="1" s="1"/>
  <c r="E281" i="1"/>
  <c r="F281" i="1" s="1"/>
  <c r="G281" i="1" s="1"/>
  <c r="E282" i="1"/>
  <c r="F282" i="1" s="1"/>
  <c r="G282" i="1" s="1"/>
  <c r="E283" i="1"/>
  <c r="F283" i="1" s="1"/>
  <c r="G283" i="1" s="1"/>
  <c r="E284" i="1"/>
  <c r="F284" i="1" s="1"/>
  <c r="G284" i="1" s="1"/>
  <c r="E285" i="1"/>
  <c r="F285" i="1" s="1"/>
  <c r="G285" i="1" s="1"/>
  <c r="E286" i="1"/>
  <c r="F286" i="1" s="1"/>
  <c r="E287" i="1"/>
  <c r="E288" i="1"/>
  <c r="E289" i="1"/>
  <c r="E290" i="1"/>
  <c r="E291" i="1"/>
  <c r="F291" i="1" s="1"/>
  <c r="G291" i="1" s="1"/>
  <c r="E292" i="1"/>
  <c r="E293" i="1"/>
  <c r="E294" i="1"/>
  <c r="F294" i="1" s="1"/>
  <c r="E295" i="1"/>
  <c r="E296" i="1"/>
  <c r="F296" i="1" s="1"/>
  <c r="G296" i="1" s="1"/>
  <c r="E297" i="1"/>
  <c r="F297" i="1" s="1"/>
  <c r="G297" i="1" s="1"/>
  <c r="E298" i="1"/>
  <c r="E299" i="1"/>
  <c r="F299" i="1" s="1"/>
  <c r="G299" i="1" s="1"/>
  <c r="E300" i="1"/>
  <c r="F300" i="1" s="1"/>
  <c r="G300" i="1" s="1"/>
  <c r="E301" i="1"/>
  <c r="F301" i="1" s="1"/>
  <c r="G301" i="1" s="1"/>
  <c r="E302" i="1"/>
  <c r="F302" i="1" s="1"/>
  <c r="G302" i="1" s="1"/>
  <c r="E303" i="1"/>
  <c r="F303" i="1" s="1"/>
  <c r="G303" i="1" s="1"/>
  <c r="E304" i="1"/>
  <c r="F304" i="1" s="1"/>
  <c r="G304" i="1" s="1"/>
  <c r="E305" i="1"/>
  <c r="F305" i="1" s="1"/>
  <c r="G305" i="1" s="1"/>
  <c r="E306" i="1"/>
  <c r="F306" i="1" s="1"/>
  <c r="G306" i="1" s="1"/>
  <c r="E307" i="1"/>
  <c r="F307" i="1" s="1"/>
  <c r="G307" i="1" s="1"/>
  <c r="E308" i="1"/>
  <c r="F308" i="1" s="1"/>
  <c r="G308" i="1" s="1"/>
  <c r="E309" i="1"/>
  <c r="F309" i="1" s="1"/>
  <c r="G309" i="1" s="1"/>
  <c r="E310" i="1"/>
  <c r="F310" i="1" s="1"/>
  <c r="G310" i="1" s="1"/>
  <c r="E311" i="1"/>
  <c r="F311" i="1" s="1"/>
  <c r="G311" i="1" s="1"/>
  <c r="E312" i="1"/>
  <c r="F312" i="1" s="1"/>
  <c r="G312" i="1" s="1"/>
  <c r="E313" i="1"/>
  <c r="F313" i="1" s="1"/>
  <c r="G313" i="1" s="1"/>
  <c r="E314" i="1"/>
  <c r="E315" i="1"/>
  <c r="F315" i="1" s="1"/>
  <c r="G315" i="1" s="1"/>
  <c r="E316" i="1"/>
  <c r="F316" i="1" s="1"/>
  <c r="G316" i="1" s="1"/>
  <c r="E317" i="1"/>
  <c r="F317" i="1" s="1"/>
  <c r="G317" i="1" s="1"/>
  <c r="E318" i="1"/>
  <c r="F318" i="1" s="1"/>
  <c r="G318" i="1" s="1"/>
  <c r="E319" i="1"/>
  <c r="F319" i="1" s="1"/>
  <c r="G319" i="1" s="1"/>
  <c r="E320" i="1"/>
  <c r="F320" i="1" s="1"/>
  <c r="G320" i="1" s="1"/>
  <c r="E321" i="1"/>
  <c r="F321" i="1" s="1"/>
  <c r="G321" i="1" s="1"/>
  <c r="E322" i="1"/>
  <c r="F322" i="1" s="1"/>
  <c r="G322" i="1" s="1"/>
  <c r="E323" i="1"/>
  <c r="F323" i="1" s="1"/>
  <c r="G323" i="1" s="1"/>
  <c r="E324" i="1"/>
  <c r="F324" i="1" s="1"/>
  <c r="G324" i="1" s="1"/>
  <c r="E325" i="1"/>
  <c r="F325" i="1" s="1"/>
  <c r="G325" i="1" s="1"/>
  <c r="E326" i="1"/>
  <c r="F326" i="1" s="1"/>
  <c r="G326" i="1" s="1"/>
  <c r="E327" i="1"/>
  <c r="F327" i="1" s="1"/>
  <c r="G327" i="1" s="1"/>
  <c r="E328" i="1"/>
  <c r="F328" i="1" s="1"/>
  <c r="G328" i="1" s="1"/>
  <c r="E329" i="1"/>
  <c r="F329" i="1" s="1"/>
  <c r="G329" i="1" s="1"/>
  <c r="E330" i="1"/>
  <c r="F330" i="1" s="1"/>
  <c r="G330" i="1" s="1"/>
  <c r="E331" i="1"/>
  <c r="F331" i="1" s="1"/>
  <c r="G331" i="1" s="1"/>
  <c r="E332" i="1"/>
  <c r="F332" i="1" s="1"/>
  <c r="G332" i="1" s="1"/>
  <c r="E333" i="1"/>
  <c r="F333" i="1" s="1"/>
  <c r="G333" i="1" s="1"/>
  <c r="E334" i="1"/>
  <c r="F334" i="1" s="1"/>
  <c r="G334" i="1" s="1"/>
  <c r="E335" i="1"/>
  <c r="F335" i="1" s="1"/>
  <c r="G335" i="1" s="1"/>
  <c r="E336" i="1"/>
  <c r="F336" i="1" s="1"/>
  <c r="G336" i="1" s="1"/>
  <c r="E337" i="1"/>
  <c r="F337" i="1" s="1"/>
  <c r="G337" i="1" s="1"/>
  <c r="E338" i="1"/>
  <c r="F338" i="1" s="1"/>
  <c r="G338" i="1" s="1"/>
  <c r="E339" i="1"/>
  <c r="F339" i="1" s="1"/>
  <c r="G339" i="1" s="1"/>
  <c r="E340" i="1"/>
  <c r="F340" i="1" s="1"/>
  <c r="G340" i="1" s="1"/>
  <c r="E341" i="1"/>
  <c r="F341" i="1" s="1"/>
  <c r="G341" i="1" s="1"/>
  <c r="E342" i="1"/>
  <c r="F342" i="1" s="1"/>
  <c r="G342" i="1" s="1"/>
  <c r="E343" i="1"/>
  <c r="F343" i="1" s="1"/>
  <c r="G343" i="1" s="1"/>
  <c r="E344" i="1"/>
  <c r="F344" i="1" s="1"/>
  <c r="G344" i="1" s="1"/>
  <c r="E345" i="1"/>
  <c r="F345" i="1" s="1"/>
  <c r="G345" i="1" s="1"/>
  <c r="E346" i="1"/>
  <c r="F346" i="1" s="1"/>
  <c r="G346" i="1" s="1"/>
  <c r="E347" i="1"/>
  <c r="F347" i="1" s="1"/>
  <c r="G347" i="1" s="1"/>
  <c r="E348" i="1"/>
  <c r="F348" i="1" s="1"/>
  <c r="G348" i="1" s="1"/>
  <c r="E349" i="1"/>
  <c r="F349" i="1" s="1"/>
  <c r="G349" i="1" s="1"/>
  <c r="E350" i="1"/>
  <c r="F350" i="1" s="1"/>
  <c r="G350" i="1" s="1"/>
  <c r="E351" i="1"/>
  <c r="F351" i="1" s="1"/>
  <c r="G351" i="1" s="1"/>
  <c r="E352" i="1"/>
  <c r="F352" i="1" s="1"/>
  <c r="G352" i="1" s="1"/>
  <c r="E353" i="1"/>
  <c r="F353" i="1" s="1"/>
  <c r="G353" i="1" s="1"/>
  <c r="E354" i="1"/>
  <c r="F354" i="1" s="1"/>
  <c r="G354" i="1" s="1"/>
  <c r="E355" i="1"/>
  <c r="F355" i="1" s="1"/>
  <c r="G355" i="1" s="1"/>
  <c r="E356" i="1"/>
  <c r="F356" i="1" s="1"/>
  <c r="G356" i="1" s="1"/>
  <c r="E357" i="1"/>
  <c r="F357" i="1" s="1"/>
  <c r="G357" i="1" s="1"/>
  <c r="E358" i="1"/>
  <c r="F358" i="1" s="1"/>
  <c r="G358" i="1" s="1"/>
  <c r="E359" i="1"/>
  <c r="F359" i="1" s="1"/>
  <c r="G359" i="1" s="1"/>
  <c r="E360" i="1"/>
  <c r="F360" i="1" s="1"/>
  <c r="G360" i="1" s="1"/>
  <c r="E361" i="1"/>
  <c r="F361" i="1" s="1"/>
  <c r="G361" i="1" s="1"/>
  <c r="E362" i="1"/>
  <c r="F362" i="1" s="1"/>
  <c r="G362" i="1" s="1"/>
  <c r="E363" i="1"/>
  <c r="F363" i="1" s="1"/>
  <c r="G363" i="1" s="1"/>
  <c r="E364" i="1"/>
  <c r="F364" i="1" s="1"/>
  <c r="G364" i="1" s="1"/>
  <c r="E365" i="1"/>
  <c r="F365" i="1" s="1"/>
  <c r="G365" i="1" s="1"/>
  <c r="E366" i="1"/>
  <c r="F366" i="1" s="1"/>
  <c r="G366" i="1" s="1"/>
  <c r="E367" i="1"/>
  <c r="F367" i="1" s="1"/>
  <c r="G367" i="1" s="1"/>
  <c r="E368" i="1"/>
  <c r="F368" i="1" s="1"/>
  <c r="G368" i="1" s="1"/>
  <c r="E369" i="1"/>
  <c r="F369" i="1" s="1"/>
  <c r="G369" i="1" s="1"/>
  <c r="E370" i="1"/>
  <c r="F370" i="1" s="1"/>
  <c r="G370" i="1" s="1"/>
  <c r="E371" i="1"/>
  <c r="F371" i="1" s="1"/>
  <c r="G371" i="1" s="1"/>
  <c r="E372" i="1"/>
  <c r="F372" i="1" s="1"/>
  <c r="G372" i="1" s="1"/>
  <c r="E373" i="1"/>
  <c r="F373" i="1" s="1"/>
  <c r="G373" i="1" s="1"/>
  <c r="E374" i="1"/>
  <c r="F374" i="1" s="1"/>
  <c r="G374" i="1" s="1"/>
  <c r="E375" i="1"/>
  <c r="F375" i="1" s="1"/>
  <c r="G375" i="1" s="1"/>
  <c r="E376" i="1"/>
  <c r="F376" i="1" s="1"/>
  <c r="G376" i="1" s="1"/>
  <c r="E377" i="1"/>
  <c r="E378" i="1"/>
  <c r="E379" i="1"/>
  <c r="E380" i="1"/>
  <c r="E381" i="1"/>
  <c r="E382" i="1"/>
  <c r="E383" i="1"/>
  <c r="E384" i="1"/>
  <c r="E385" i="1"/>
  <c r="E386" i="1"/>
  <c r="F386" i="1" s="1"/>
  <c r="G386" i="1" s="1"/>
  <c r="E387" i="1"/>
  <c r="F387" i="1" s="1"/>
  <c r="G387" i="1" s="1"/>
  <c r="E388" i="1"/>
  <c r="F388" i="1" s="1"/>
  <c r="G388" i="1" s="1"/>
  <c r="E389" i="1"/>
  <c r="F389" i="1" s="1"/>
  <c r="G389" i="1" s="1"/>
  <c r="E390" i="1"/>
  <c r="F390" i="1" s="1"/>
  <c r="G390" i="1" s="1"/>
  <c r="E391" i="1"/>
  <c r="F391" i="1" s="1"/>
  <c r="G391" i="1" s="1"/>
  <c r="E392" i="1"/>
  <c r="F392" i="1" s="1"/>
  <c r="G392" i="1" s="1"/>
  <c r="E393" i="1"/>
  <c r="F393" i="1" s="1"/>
  <c r="G393" i="1" s="1"/>
  <c r="E394" i="1"/>
  <c r="F394" i="1" s="1"/>
  <c r="G394" i="1" s="1"/>
  <c r="E395" i="1"/>
  <c r="F395" i="1" s="1"/>
  <c r="G395" i="1" s="1"/>
  <c r="E396" i="1"/>
  <c r="F396" i="1" s="1"/>
  <c r="G396" i="1" s="1"/>
  <c r="E397" i="1"/>
  <c r="E398" i="1"/>
  <c r="E399" i="1"/>
  <c r="E400" i="1"/>
  <c r="E401" i="1"/>
  <c r="E402" i="1"/>
  <c r="E403" i="1"/>
  <c r="E404" i="1"/>
  <c r="E405" i="1"/>
  <c r="E406" i="1"/>
  <c r="E407" i="1"/>
  <c r="F407" i="1" s="1"/>
  <c r="G407" i="1" s="1"/>
  <c r="E408" i="1"/>
  <c r="F408" i="1" s="1"/>
  <c r="G408" i="1" s="1"/>
  <c r="E409" i="1"/>
  <c r="F409" i="1" s="1"/>
  <c r="G409" i="1" s="1"/>
  <c r="E410" i="1"/>
  <c r="F410" i="1" s="1"/>
  <c r="G410" i="1" s="1"/>
  <c r="E411" i="1"/>
  <c r="F411" i="1" s="1"/>
  <c r="G411" i="1" s="1"/>
  <c r="E412" i="1"/>
  <c r="F412" i="1" s="1"/>
  <c r="G412" i="1" s="1"/>
  <c r="E413" i="1"/>
  <c r="F413" i="1" s="1"/>
  <c r="G413" i="1" s="1"/>
  <c r="E414" i="1"/>
  <c r="F414" i="1" s="1"/>
  <c r="G414" i="1" s="1"/>
  <c r="E415" i="1"/>
  <c r="F415" i="1" s="1"/>
  <c r="G415" i="1" s="1"/>
  <c r="E416" i="1"/>
  <c r="F416" i="1" s="1"/>
  <c r="G416" i="1" s="1"/>
  <c r="E417" i="1"/>
  <c r="F417" i="1" s="1"/>
  <c r="G417" i="1" s="1"/>
  <c r="E418" i="1"/>
  <c r="F418" i="1" s="1"/>
  <c r="G418" i="1" s="1"/>
  <c r="E419" i="1"/>
  <c r="F419" i="1" s="1"/>
  <c r="G419" i="1" s="1"/>
  <c r="E420" i="1"/>
  <c r="F420" i="1" s="1"/>
  <c r="G420" i="1" s="1"/>
  <c r="E421" i="1"/>
  <c r="F421" i="1" s="1"/>
  <c r="G421" i="1" s="1"/>
  <c r="E422" i="1"/>
  <c r="F422" i="1" s="1"/>
  <c r="G422" i="1" s="1"/>
  <c r="E423" i="1"/>
  <c r="F423" i="1" s="1"/>
  <c r="G423" i="1" s="1"/>
  <c r="E424" i="1"/>
  <c r="F424" i="1" s="1"/>
  <c r="G424" i="1" s="1"/>
  <c r="E425" i="1"/>
  <c r="F425" i="1" s="1"/>
  <c r="G425" i="1" s="1"/>
  <c r="E426" i="1"/>
  <c r="F426" i="1" s="1"/>
  <c r="G426" i="1" s="1"/>
  <c r="E427" i="1"/>
  <c r="F427" i="1" s="1"/>
  <c r="G427" i="1" s="1"/>
  <c r="E428" i="1"/>
  <c r="F428" i="1" s="1"/>
  <c r="G428" i="1" s="1"/>
  <c r="E429" i="1"/>
  <c r="E430" i="1"/>
  <c r="E431" i="1"/>
  <c r="E432" i="1"/>
  <c r="E433" i="1"/>
  <c r="E434" i="1"/>
  <c r="F434" i="1" s="1"/>
  <c r="G434" i="1" s="1"/>
  <c r="E435" i="1"/>
  <c r="F435" i="1" s="1"/>
  <c r="G435" i="1" s="1"/>
  <c r="E436" i="1"/>
  <c r="F436" i="1" s="1"/>
  <c r="G436" i="1" s="1"/>
  <c r="E437" i="1"/>
  <c r="E438" i="1"/>
  <c r="E439" i="1"/>
  <c r="F439" i="1" s="1"/>
  <c r="G439" i="1" s="1"/>
  <c r="E440" i="1"/>
  <c r="E441" i="1"/>
  <c r="E442" i="1"/>
  <c r="E443" i="1"/>
  <c r="E444" i="1"/>
  <c r="F444" i="1" s="1"/>
  <c r="G444" i="1" s="1"/>
  <c r="E445" i="1"/>
  <c r="F445" i="1" s="1"/>
  <c r="G445" i="1" s="1"/>
  <c r="E446" i="1"/>
  <c r="F446" i="1" s="1"/>
  <c r="G446" i="1" s="1"/>
  <c r="E447" i="1"/>
  <c r="F447" i="1" s="1"/>
  <c r="G447" i="1" s="1"/>
  <c r="E448" i="1"/>
  <c r="F448" i="1" s="1"/>
  <c r="G448" i="1" s="1"/>
  <c r="E449" i="1"/>
  <c r="F449" i="1" s="1"/>
  <c r="G449" i="1" s="1"/>
  <c r="E450" i="1"/>
  <c r="F450" i="1" s="1"/>
  <c r="G450" i="1" s="1"/>
  <c r="E451" i="1"/>
  <c r="F451" i="1" s="1"/>
  <c r="G451" i="1" s="1"/>
  <c r="E452" i="1"/>
  <c r="F452" i="1" s="1"/>
  <c r="G452" i="1" s="1"/>
  <c r="E453" i="1"/>
  <c r="E454" i="1"/>
  <c r="E455" i="1"/>
  <c r="E456" i="1"/>
  <c r="E457" i="1"/>
  <c r="F457" i="1" s="1"/>
  <c r="G457" i="1" s="1"/>
  <c r="E458" i="1"/>
  <c r="F458" i="1" s="1"/>
  <c r="G458" i="1" s="1"/>
  <c r="E459" i="1"/>
  <c r="E460" i="1"/>
  <c r="E461" i="1"/>
  <c r="F461" i="1" s="1"/>
  <c r="G461" i="1" s="1"/>
  <c r="E462" i="1"/>
  <c r="E463" i="1"/>
  <c r="E464" i="1"/>
  <c r="E465" i="1"/>
  <c r="F465" i="1" s="1"/>
  <c r="G465" i="1" s="1"/>
  <c r="E466" i="1"/>
  <c r="F466" i="1" s="1"/>
  <c r="G466" i="1" s="1"/>
  <c r="E467" i="1"/>
  <c r="F467" i="1" s="1"/>
  <c r="G467" i="1" s="1"/>
  <c r="E468" i="1"/>
  <c r="F468" i="1" s="1"/>
  <c r="G468" i="1" s="1"/>
  <c r="E469" i="1"/>
  <c r="F469" i="1" s="1"/>
  <c r="G469" i="1" s="1"/>
  <c r="E470" i="1"/>
  <c r="F470" i="1" s="1"/>
  <c r="G470" i="1" s="1"/>
  <c r="E471" i="1"/>
  <c r="F471" i="1" s="1"/>
  <c r="G471" i="1" s="1"/>
  <c r="E472" i="1"/>
  <c r="F472" i="1" s="1"/>
  <c r="G472" i="1" s="1"/>
  <c r="E473" i="1"/>
  <c r="F473" i="1" s="1"/>
  <c r="G473" i="1" s="1"/>
  <c r="E474" i="1"/>
  <c r="F474" i="1" s="1"/>
  <c r="G474" i="1" s="1"/>
  <c r="E475" i="1"/>
  <c r="F475" i="1" s="1"/>
  <c r="G475" i="1" s="1"/>
  <c r="E476" i="1"/>
  <c r="F476" i="1" s="1"/>
  <c r="G476" i="1" s="1"/>
  <c r="E477" i="1"/>
  <c r="F477" i="1" s="1"/>
  <c r="G477" i="1" s="1"/>
  <c r="E478" i="1"/>
  <c r="F478" i="1" s="1"/>
  <c r="G478" i="1" s="1"/>
  <c r="E479" i="1"/>
  <c r="F479" i="1" s="1"/>
  <c r="G479" i="1" s="1"/>
  <c r="E480" i="1"/>
  <c r="F480" i="1" s="1"/>
  <c r="G480" i="1" s="1"/>
  <c r="E481" i="1"/>
  <c r="F481" i="1" s="1"/>
  <c r="G481" i="1" s="1"/>
  <c r="E482" i="1"/>
  <c r="F482" i="1" s="1"/>
  <c r="G482" i="1" s="1"/>
  <c r="E483" i="1"/>
  <c r="F483" i="1" s="1"/>
  <c r="G483" i="1" s="1"/>
  <c r="E484" i="1"/>
  <c r="F484" i="1" s="1"/>
  <c r="G484" i="1" s="1"/>
  <c r="E485" i="1"/>
  <c r="F485" i="1" s="1"/>
  <c r="G485" i="1" s="1"/>
  <c r="E486" i="1"/>
  <c r="F486" i="1" s="1"/>
  <c r="G486" i="1" s="1"/>
  <c r="E487" i="1"/>
  <c r="F487" i="1" s="1"/>
  <c r="G487" i="1" s="1"/>
  <c r="E488" i="1"/>
  <c r="F488" i="1" s="1"/>
  <c r="G488" i="1" s="1"/>
  <c r="E489" i="1"/>
  <c r="F489" i="1" s="1"/>
  <c r="G489" i="1" s="1"/>
  <c r="E490" i="1"/>
  <c r="F490" i="1" s="1"/>
  <c r="G490" i="1" s="1"/>
  <c r="E491" i="1"/>
  <c r="F491" i="1" s="1"/>
  <c r="G491" i="1" s="1"/>
  <c r="E492" i="1"/>
  <c r="F492" i="1" s="1"/>
  <c r="G492" i="1" s="1"/>
  <c r="E493" i="1"/>
  <c r="F493" i="1" s="1"/>
  <c r="G493" i="1" s="1"/>
  <c r="E494" i="1"/>
  <c r="F494" i="1" s="1"/>
  <c r="G494" i="1" s="1"/>
  <c r="E495" i="1"/>
  <c r="F495" i="1" s="1"/>
  <c r="G495" i="1" s="1"/>
  <c r="E496" i="1"/>
  <c r="F496" i="1" s="1"/>
  <c r="G496" i="1" s="1"/>
  <c r="E497" i="1"/>
  <c r="F497" i="1" s="1"/>
  <c r="G497" i="1" s="1"/>
  <c r="E498" i="1"/>
  <c r="F498" i="1" s="1"/>
  <c r="G498" i="1" s="1"/>
  <c r="E499" i="1"/>
  <c r="F499" i="1" s="1"/>
  <c r="G499" i="1" s="1"/>
  <c r="E500" i="1"/>
  <c r="F500" i="1" s="1"/>
  <c r="G500" i="1" s="1"/>
  <c r="E501" i="1"/>
  <c r="F501" i="1" s="1"/>
  <c r="G501" i="1" s="1"/>
  <c r="E502" i="1"/>
  <c r="F502" i="1" s="1"/>
  <c r="G502" i="1" s="1"/>
  <c r="E503" i="1"/>
  <c r="E504" i="1"/>
  <c r="E505" i="1"/>
  <c r="E506" i="1"/>
  <c r="E507" i="1"/>
  <c r="E508" i="1"/>
  <c r="E509" i="1"/>
  <c r="E510" i="1"/>
  <c r="E511" i="1"/>
  <c r="E512" i="1"/>
  <c r="E513" i="1"/>
  <c r="F513" i="1" s="1"/>
  <c r="G513" i="1" s="1"/>
  <c r="E514" i="1"/>
  <c r="F514" i="1" s="1"/>
  <c r="G514" i="1" s="1"/>
  <c r="E515" i="1"/>
  <c r="F515" i="1" s="1"/>
  <c r="G515" i="1" s="1"/>
  <c r="E516" i="1"/>
  <c r="F516" i="1" s="1"/>
  <c r="G516" i="1" s="1"/>
  <c r="E517" i="1"/>
  <c r="F517" i="1" s="1"/>
  <c r="G517" i="1" s="1"/>
  <c r="E518" i="1"/>
  <c r="F518" i="1" s="1"/>
  <c r="G518" i="1" s="1"/>
  <c r="E519" i="1"/>
  <c r="F519" i="1" s="1"/>
  <c r="G519" i="1" s="1"/>
  <c r="E520" i="1"/>
  <c r="F520" i="1" s="1"/>
  <c r="G520" i="1" s="1"/>
  <c r="E521" i="1"/>
  <c r="F521" i="1" s="1"/>
  <c r="G521" i="1" s="1"/>
  <c r="E522" i="1"/>
  <c r="E523" i="1"/>
  <c r="E524" i="1"/>
  <c r="F524" i="1" s="1"/>
  <c r="G524" i="1" s="1"/>
  <c r="E525" i="1"/>
  <c r="F525" i="1" s="1"/>
  <c r="G525" i="1" s="1"/>
  <c r="E526" i="1"/>
  <c r="E527" i="1"/>
  <c r="E528" i="1"/>
  <c r="E529" i="1"/>
  <c r="E530" i="1"/>
  <c r="E531" i="1"/>
  <c r="E532" i="1"/>
  <c r="E533" i="1"/>
  <c r="F533" i="1" s="1"/>
  <c r="G533" i="1" s="1"/>
  <c r="E534" i="1"/>
  <c r="F534" i="1" s="1"/>
  <c r="G534" i="1" s="1"/>
  <c r="E535" i="1"/>
  <c r="F535" i="1" s="1"/>
  <c r="G535" i="1" s="1"/>
  <c r="E536" i="1"/>
  <c r="F536" i="1" s="1"/>
  <c r="G536" i="1" s="1"/>
  <c r="E537" i="1"/>
  <c r="F537" i="1" s="1"/>
  <c r="G537" i="1" s="1"/>
  <c r="E538" i="1"/>
  <c r="F538" i="1" s="1"/>
  <c r="G538" i="1" s="1"/>
  <c r="E539" i="1"/>
  <c r="F539" i="1" s="1"/>
  <c r="G539" i="1" s="1"/>
  <c r="E540" i="1"/>
  <c r="F540" i="1" s="1"/>
  <c r="G540" i="1" s="1"/>
  <c r="E541" i="1"/>
  <c r="F541" i="1" s="1"/>
  <c r="G541" i="1" s="1"/>
  <c r="E542" i="1"/>
  <c r="F542" i="1" s="1"/>
  <c r="G542" i="1" s="1"/>
  <c r="E543" i="1"/>
  <c r="F543" i="1" s="1"/>
  <c r="G543" i="1" s="1"/>
  <c r="E544" i="1"/>
  <c r="F544" i="1" s="1"/>
  <c r="G544" i="1" s="1"/>
  <c r="E545" i="1"/>
  <c r="F545" i="1" s="1"/>
  <c r="G545" i="1" s="1"/>
  <c r="E546" i="1"/>
  <c r="F546" i="1" s="1"/>
  <c r="G546" i="1" s="1"/>
  <c r="E547" i="1"/>
  <c r="F547" i="1" s="1"/>
  <c r="G547" i="1" s="1"/>
  <c r="E548" i="1"/>
  <c r="F548" i="1" s="1"/>
  <c r="G548" i="1" s="1"/>
  <c r="E549" i="1"/>
  <c r="F549" i="1" s="1"/>
  <c r="G549" i="1" s="1"/>
  <c r="E550" i="1"/>
  <c r="F550" i="1" s="1"/>
  <c r="G550" i="1" s="1"/>
  <c r="E551" i="1"/>
  <c r="F551" i="1" s="1"/>
  <c r="G551" i="1" s="1"/>
  <c r="E552" i="1"/>
  <c r="E553" i="1"/>
  <c r="E554" i="1"/>
  <c r="F554" i="1" s="1"/>
  <c r="G554" i="1" s="1"/>
  <c r="E555" i="1"/>
  <c r="F555" i="1" s="1"/>
  <c r="G555" i="1" s="1"/>
  <c r="E556" i="1"/>
  <c r="E557" i="1"/>
  <c r="E558" i="1"/>
  <c r="E559" i="1"/>
  <c r="E560" i="1"/>
  <c r="E561" i="1"/>
  <c r="F561" i="1" s="1"/>
  <c r="G561" i="1" s="1"/>
  <c r="E562" i="1"/>
  <c r="F562" i="1" s="1"/>
  <c r="G562" i="1" s="1"/>
  <c r="E563" i="1"/>
  <c r="F563" i="1" s="1"/>
  <c r="G563" i="1" s="1"/>
  <c r="E564" i="1"/>
  <c r="F564" i="1" s="1"/>
  <c r="G564" i="1" s="1"/>
  <c r="E565" i="1"/>
  <c r="F565" i="1" s="1"/>
  <c r="G565" i="1" s="1"/>
  <c r="E566" i="1"/>
  <c r="F566" i="1" s="1"/>
  <c r="G566" i="1" s="1"/>
  <c r="E567" i="1"/>
  <c r="F567" i="1" s="1"/>
  <c r="G567" i="1" s="1"/>
  <c r="E568" i="1"/>
  <c r="F568" i="1" s="1"/>
  <c r="G568" i="1" s="1"/>
  <c r="E569" i="1"/>
  <c r="F569" i="1" s="1"/>
  <c r="G569" i="1" s="1"/>
  <c r="E570" i="1"/>
  <c r="F570" i="1" s="1"/>
  <c r="G570" i="1" s="1"/>
  <c r="E571" i="1"/>
  <c r="F571" i="1" s="1"/>
  <c r="G571" i="1" s="1"/>
  <c r="E572" i="1"/>
  <c r="F572" i="1" s="1"/>
  <c r="G572" i="1" s="1"/>
  <c r="E573" i="1"/>
  <c r="F573" i="1" s="1"/>
  <c r="G573" i="1" s="1"/>
  <c r="E574" i="1"/>
  <c r="F574" i="1" s="1"/>
  <c r="G574" i="1" s="1"/>
  <c r="E575" i="1"/>
  <c r="F575" i="1" s="1"/>
  <c r="G575" i="1" s="1"/>
  <c r="E576" i="1"/>
  <c r="F576" i="1" s="1"/>
  <c r="G576" i="1" s="1"/>
  <c r="E577" i="1"/>
  <c r="F577" i="1" s="1"/>
  <c r="G577" i="1" s="1"/>
  <c r="E578" i="1"/>
  <c r="F578" i="1" s="1"/>
  <c r="G578" i="1" s="1"/>
  <c r="E579" i="1"/>
  <c r="F579" i="1" s="1"/>
  <c r="G579" i="1" s="1"/>
  <c r="E580" i="1"/>
  <c r="F580" i="1" s="1"/>
  <c r="G580" i="1" s="1"/>
  <c r="E581" i="1"/>
  <c r="F581" i="1" s="1"/>
  <c r="G581" i="1" s="1"/>
  <c r="E582" i="1"/>
  <c r="F582" i="1" s="1"/>
  <c r="G582" i="1" s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F595" i="1" s="1"/>
  <c r="G595" i="1" s="1"/>
  <c r="E596" i="1"/>
  <c r="F596" i="1" s="1"/>
  <c r="G596" i="1" s="1"/>
  <c r="E597" i="1"/>
  <c r="F597" i="1" s="1"/>
  <c r="G597" i="1" s="1"/>
  <c r="E598" i="1"/>
  <c r="F598" i="1" s="1"/>
  <c r="G598" i="1" s="1"/>
  <c r="E599" i="1"/>
  <c r="F599" i="1" s="1"/>
  <c r="G599" i="1" s="1"/>
  <c r="E600" i="1"/>
  <c r="F600" i="1" s="1"/>
  <c r="G600" i="1" s="1"/>
  <c r="E601" i="1"/>
  <c r="F601" i="1" s="1"/>
  <c r="G601" i="1" s="1"/>
  <c r="E602" i="1"/>
  <c r="F602" i="1" s="1"/>
  <c r="G602" i="1" s="1"/>
  <c r="E603" i="1"/>
  <c r="F603" i="1" s="1"/>
  <c r="G603" i="1" s="1"/>
  <c r="E604" i="1"/>
  <c r="F604" i="1" s="1"/>
  <c r="G604" i="1" s="1"/>
  <c r="E605" i="1"/>
  <c r="F605" i="1" s="1"/>
  <c r="G605" i="1" s="1"/>
  <c r="E606" i="1"/>
  <c r="F606" i="1" s="1"/>
  <c r="G606" i="1" s="1"/>
  <c r="E607" i="1"/>
  <c r="F607" i="1" s="1"/>
  <c r="G607" i="1" s="1"/>
  <c r="E608" i="1"/>
  <c r="F608" i="1" s="1"/>
  <c r="G608" i="1" s="1"/>
  <c r="E609" i="1"/>
  <c r="F609" i="1" s="1"/>
  <c r="G609" i="1" s="1"/>
  <c r="E610" i="1"/>
  <c r="F610" i="1" s="1"/>
  <c r="G610" i="1" s="1"/>
  <c r="E611" i="1"/>
  <c r="F611" i="1" s="1"/>
  <c r="G611" i="1" s="1"/>
  <c r="E612" i="1"/>
  <c r="F612" i="1" s="1"/>
  <c r="G612" i="1" s="1"/>
  <c r="E613" i="1"/>
  <c r="F613" i="1" s="1"/>
  <c r="G613" i="1" s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F628" i="1" s="1"/>
  <c r="G628" i="1" s="1"/>
  <c r="E629" i="1"/>
  <c r="F629" i="1" s="1"/>
  <c r="G629" i="1" s="1"/>
  <c r="E630" i="1"/>
  <c r="F630" i="1" s="1"/>
  <c r="G630" i="1" s="1"/>
  <c r="E631" i="1"/>
  <c r="F631" i="1" s="1"/>
  <c r="G631" i="1" s="1"/>
  <c r="E632" i="1"/>
  <c r="F632" i="1" s="1"/>
  <c r="G632" i="1" s="1"/>
  <c r="E633" i="1"/>
  <c r="F633" i="1" s="1"/>
  <c r="G633" i="1" s="1"/>
  <c r="E634" i="1"/>
  <c r="F634" i="1" s="1"/>
  <c r="G634" i="1" s="1"/>
  <c r="E635" i="1"/>
  <c r="F635" i="1" s="1"/>
  <c r="G635" i="1" s="1"/>
  <c r="E636" i="1"/>
  <c r="F636" i="1" s="1"/>
  <c r="G636" i="1" s="1"/>
  <c r="E637" i="1"/>
  <c r="F637" i="1" s="1"/>
  <c r="G637" i="1" s="1"/>
  <c r="E638" i="1"/>
  <c r="F638" i="1" s="1"/>
  <c r="G638" i="1" s="1"/>
  <c r="E639" i="1"/>
  <c r="F639" i="1" s="1"/>
  <c r="G639" i="1" s="1"/>
  <c r="E640" i="1"/>
  <c r="F640" i="1" s="1"/>
  <c r="G640" i="1" s="1"/>
  <c r="E641" i="1"/>
  <c r="F641" i="1" s="1"/>
  <c r="G641" i="1" s="1"/>
  <c r="E642" i="1"/>
  <c r="F642" i="1" s="1"/>
  <c r="G642" i="1" s="1"/>
  <c r="E643" i="1"/>
  <c r="F643" i="1" s="1"/>
  <c r="G643" i="1" s="1"/>
  <c r="E644" i="1"/>
  <c r="F644" i="1" s="1"/>
  <c r="G644" i="1" s="1"/>
  <c r="E645" i="1"/>
  <c r="F645" i="1" s="1"/>
  <c r="G645" i="1" s="1"/>
  <c r="E646" i="1"/>
  <c r="F646" i="1" s="1"/>
  <c r="G646" i="1" s="1"/>
  <c r="E647" i="1"/>
  <c r="F647" i="1" s="1"/>
  <c r="G647" i="1" s="1"/>
  <c r="E648" i="1"/>
  <c r="F648" i="1" s="1"/>
  <c r="G648" i="1" s="1"/>
  <c r="E649" i="1"/>
  <c r="F649" i="1" s="1"/>
  <c r="G649" i="1" s="1"/>
  <c r="E650" i="1"/>
  <c r="F650" i="1" s="1"/>
  <c r="G650" i="1" s="1"/>
  <c r="E651" i="1"/>
  <c r="F651" i="1" s="1"/>
  <c r="G651" i="1" s="1"/>
  <c r="E652" i="1"/>
  <c r="F652" i="1" s="1"/>
  <c r="G652" i="1" s="1"/>
  <c r="E653" i="1"/>
  <c r="E654" i="1"/>
  <c r="E655" i="1"/>
  <c r="E656" i="1"/>
  <c r="E657" i="1"/>
  <c r="E658" i="1"/>
  <c r="E659" i="1"/>
  <c r="E660" i="1"/>
  <c r="E661" i="1"/>
  <c r="F661" i="1" s="1"/>
  <c r="G661" i="1" s="1"/>
  <c r="E662" i="1"/>
  <c r="E663" i="1"/>
  <c r="E664" i="1"/>
  <c r="E665" i="1"/>
  <c r="E666" i="1"/>
  <c r="E667" i="1"/>
  <c r="F667" i="1" s="1"/>
  <c r="G667" i="1" s="1"/>
  <c r="E668" i="1"/>
  <c r="F668" i="1" s="1"/>
  <c r="G668" i="1" s="1"/>
  <c r="E669" i="1"/>
  <c r="F669" i="1" s="1"/>
  <c r="G669" i="1" s="1"/>
  <c r="E670" i="1"/>
  <c r="F670" i="1" s="1"/>
  <c r="G670" i="1" s="1"/>
  <c r="E671" i="1"/>
  <c r="F671" i="1" s="1"/>
  <c r="G671" i="1" s="1"/>
  <c r="E672" i="1"/>
  <c r="F672" i="1" s="1"/>
  <c r="G672" i="1" s="1"/>
  <c r="E673" i="1"/>
  <c r="F673" i="1" s="1"/>
  <c r="G673" i="1" s="1"/>
  <c r="E674" i="1"/>
  <c r="F674" i="1" s="1"/>
  <c r="G674" i="1" s="1"/>
  <c r="E675" i="1"/>
  <c r="F675" i="1" s="1"/>
  <c r="G675" i="1" s="1"/>
  <c r="E676" i="1"/>
  <c r="F676" i="1" s="1"/>
  <c r="G676" i="1" s="1"/>
  <c r="E677" i="1"/>
  <c r="F677" i="1" s="1"/>
  <c r="G677" i="1" s="1"/>
  <c r="E678" i="1"/>
  <c r="F678" i="1" s="1"/>
  <c r="G678" i="1" s="1"/>
  <c r="E679" i="1"/>
  <c r="F679" i="1" s="1"/>
  <c r="G679" i="1" s="1"/>
  <c r="E680" i="1"/>
  <c r="F680" i="1" s="1"/>
  <c r="G680" i="1" s="1"/>
  <c r="E681" i="1"/>
  <c r="F681" i="1" s="1"/>
  <c r="G681" i="1" s="1"/>
  <c r="E682" i="1"/>
  <c r="F682" i="1" s="1"/>
  <c r="G682" i="1" s="1"/>
  <c r="E683" i="1"/>
  <c r="F683" i="1" s="1"/>
  <c r="G683" i="1" s="1"/>
  <c r="E684" i="1"/>
  <c r="F684" i="1" s="1"/>
  <c r="G684" i="1" s="1"/>
  <c r="E685" i="1"/>
  <c r="F685" i="1" s="1"/>
  <c r="G685" i="1" s="1"/>
  <c r="E686" i="1"/>
  <c r="F686" i="1" s="1"/>
  <c r="G686" i="1" s="1"/>
  <c r="E687" i="1"/>
  <c r="E688" i="1"/>
  <c r="F688" i="1" s="1"/>
  <c r="G688" i="1" s="1"/>
  <c r="E689" i="1"/>
  <c r="F689" i="1" s="1"/>
  <c r="G689" i="1" s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F702" i="1" s="1"/>
  <c r="G702" i="1" s="1"/>
  <c r="E703" i="1"/>
  <c r="F703" i="1" s="1"/>
  <c r="G703" i="1" s="1"/>
  <c r="E704" i="1"/>
  <c r="F704" i="1" s="1"/>
  <c r="G704" i="1" s="1"/>
  <c r="E705" i="1"/>
  <c r="F705" i="1" s="1"/>
  <c r="G705" i="1" s="1"/>
  <c r="E706" i="1"/>
  <c r="F706" i="1" s="1"/>
  <c r="G706" i="1" s="1"/>
  <c r="E707" i="1"/>
  <c r="F707" i="1" s="1"/>
  <c r="G707" i="1" s="1"/>
  <c r="E708" i="1"/>
  <c r="F708" i="1" s="1"/>
  <c r="G708" i="1" s="1"/>
  <c r="E709" i="1"/>
  <c r="F709" i="1" s="1"/>
  <c r="G709" i="1" s="1"/>
  <c r="E710" i="1"/>
  <c r="E711" i="1"/>
  <c r="E712" i="1"/>
  <c r="E713" i="1"/>
  <c r="E714" i="1"/>
  <c r="E715" i="1"/>
  <c r="E716" i="1"/>
  <c r="E717" i="1"/>
  <c r="E718" i="1"/>
  <c r="E719" i="1"/>
  <c r="E720" i="1"/>
  <c r="F720" i="1" s="1"/>
  <c r="G720" i="1" s="1"/>
  <c r="E721" i="1"/>
  <c r="F721" i="1" s="1"/>
  <c r="G721" i="1" s="1"/>
  <c r="E722" i="1"/>
  <c r="F722" i="1" s="1"/>
  <c r="G722" i="1" s="1"/>
  <c r="E723" i="1"/>
  <c r="F723" i="1" s="1"/>
  <c r="G723" i="1" s="1"/>
  <c r="E724" i="1"/>
  <c r="F724" i="1" s="1"/>
  <c r="G724" i="1" s="1"/>
  <c r="E725" i="1"/>
  <c r="F725" i="1" s="1"/>
  <c r="G725" i="1" s="1"/>
  <c r="E726" i="1"/>
  <c r="F726" i="1" s="1"/>
  <c r="G726" i="1" s="1"/>
  <c r="E727" i="1"/>
  <c r="F727" i="1" s="1"/>
  <c r="G727" i="1" s="1"/>
  <c r="E728" i="1"/>
  <c r="F728" i="1" s="1"/>
  <c r="G728" i="1" s="1"/>
  <c r="E729" i="1"/>
  <c r="F729" i="1" s="1"/>
  <c r="G729" i="1" s="1"/>
  <c r="E730" i="1"/>
  <c r="F730" i="1" s="1"/>
  <c r="G730" i="1" s="1"/>
  <c r="E731" i="1"/>
  <c r="F731" i="1" s="1"/>
  <c r="G731" i="1" s="1"/>
  <c r="E732" i="1"/>
  <c r="F732" i="1" s="1"/>
  <c r="G732" i="1" s="1"/>
  <c r="E733" i="1"/>
  <c r="F733" i="1" s="1"/>
  <c r="G733" i="1" s="1"/>
  <c r="E734" i="1"/>
  <c r="F734" i="1" s="1"/>
  <c r="G734" i="1" s="1"/>
  <c r="E735" i="1"/>
  <c r="F735" i="1" s="1"/>
  <c r="G735" i="1" s="1"/>
  <c r="E736" i="1"/>
  <c r="F736" i="1" s="1"/>
  <c r="G736" i="1" s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F750" i="1" s="1"/>
  <c r="G750" i="1" s="1"/>
  <c r="E751" i="1"/>
  <c r="F751" i="1" s="1"/>
  <c r="G751" i="1" s="1"/>
  <c r="E752" i="1"/>
  <c r="F752" i="1" s="1"/>
  <c r="G752" i="1" s="1"/>
  <c r="E753" i="1"/>
  <c r="F753" i="1" s="1"/>
  <c r="G753" i="1" s="1"/>
  <c r="E754" i="1"/>
  <c r="F754" i="1" s="1"/>
  <c r="G754" i="1" s="1"/>
  <c r="E755" i="1"/>
  <c r="F755" i="1" s="1"/>
  <c r="G755" i="1" s="1"/>
  <c r="E756" i="1"/>
  <c r="F756" i="1" s="1"/>
  <c r="G756" i="1" s="1"/>
  <c r="E757" i="1"/>
  <c r="F757" i="1" s="1"/>
  <c r="G757" i="1" s="1"/>
  <c r="E758" i="1"/>
  <c r="F758" i="1" s="1"/>
  <c r="G758" i="1" s="1"/>
  <c r="E759" i="1"/>
  <c r="F759" i="1" s="1"/>
  <c r="G759" i="1" s="1"/>
  <c r="E760" i="1"/>
  <c r="E761" i="1"/>
  <c r="E762" i="1"/>
  <c r="E763" i="1"/>
  <c r="E764" i="1"/>
  <c r="E765" i="1"/>
  <c r="E766" i="1"/>
  <c r="E767" i="1"/>
  <c r="E768" i="1"/>
  <c r="E769" i="1"/>
  <c r="E770" i="1"/>
  <c r="E771" i="1"/>
  <c r="F771" i="1" s="1"/>
  <c r="G771" i="1" s="1"/>
  <c r="E772" i="1"/>
  <c r="F772" i="1" s="1"/>
  <c r="G772" i="1" s="1"/>
  <c r="E773" i="1"/>
  <c r="F773" i="1" s="1"/>
  <c r="G773" i="1" s="1"/>
  <c r="E774" i="1"/>
  <c r="F774" i="1" s="1"/>
  <c r="G774" i="1" s="1"/>
  <c r="E775" i="1"/>
  <c r="F775" i="1" s="1"/>
  <c r="G775" i="1" s="1"/>
  <c r="E776" i="1"/>
  <c r="F776" i="1" s="1"/>
  <c r="G776" i="1" s="1"/>
  <c r="E777" i="1"/>
  <c r="F777" i="1" s="1"/>
  <c r="G777" i="1" s="1"/>
  <c r="E778" i="1"/>
  <c r="F778" i="1" s="1"/>
  <c r="G778" i="1" s="1"/>
  <c r="E779" i="1"/>
  <c r="F779" i="1" s="1"/>
  <c r="G779" i="1" s="1"/>
  <c r="E780" i="1"/>
  <c r="F780" i="1" s="1"/>
  <c r="G780" i="1" s="1"/>
  <c r="E781" i="1"/>
  <c r="F781" i="1" s="1"/>
  <c r="G781" i="1" s="1"/>
  <c r="E782" i="1"/>
  <c r="F782" i="1" s="1"/>
  <c r="G782" i="1" s="1"/>
  <c r="E783" i="1"/>
  <c r="F783" i="1" s="1"/>
  <c r="G783" i="1" s="1"/>
  <c r="E784" i="1"/>
  <c r="E785" i="1"/>
  <c r="E786" i="1"/>
  <c r="F786" i="1" s="1"/>
  <c r="G786" i="1" s="1"/>
  <c r="E787" i="1"/>
  <c r="F787" i="1" s="1"/>
  <c r="G787" i="1" s="1"/>
  <c r="E788" i="1"/>
  <c r="F788" i="1" s="1"/>
  <c r="G788" i="1" s="1"/>
  <c r="E789" i="1"/>
  <c r="F789" i="1" s="1"/>
  <c r="G789" i="1" s="1"/>
  <c r="E790" i="1"/>
  <c r="F790" i="1" s="1"/>
  <c r="G790" i="1" s="1"/>
  <c r="E791" i="1"/>
  <c r="F791" i="1" s="1"/>
  <c r="G791" i="1" s="1"/>
  <c r="E792" i="1"/>
  <c r="E793" i="1"/>
  <c r="E794" i="1"/>
  <c r="F794" i="1" s="1"/>
  <c r="G794" i="1" s="1"/>
  <c r="E795" i="1"/>
  <c r="F795" i="1" s="1"/>
  <c r="G795" i="1" s="1"/>
  <c r="E796" i="1"/>
  <c r="F796" i="1" s="1"/>
  <c r="G796" i="1" s="1"/>
  <c r="E797" i="1"/>
  <c r="F797" i="1" s="1"/>
  <c r="G797" i="1" s="1"/>
  <c r="E798" i="1"/>
  <c r="F798" i="1" s="1"/>
  <c r="G798" i="1" s="1"/>
  <c r="E799" i="1"/>
  <c r="F799" i="1" s="1"/>
  <c r="G799" i="1" s="1"/>
  <c r="E800" i="1"/>
  <c r="F800" i="1" s="1"/>
  <c r="G800" i="1" s="1"/>
  <c r="E801" i="1"/>
  <c r="F801" i="1" s="1"/>
  <c r="G801" i="1" s="1"/>
  <c r="E802" i="1"/>
  <c r="F802" i="1" s="1"/>
  <c r="G802" i="1" s="1"/>
  <c r="E803" i="1"/>
  <c r="F803" i="1" s="1"/>
  <c r="G803" i="1" s="1"/>
  <c r="E804" i="1"/>
  <c r="F804" i="1" s="1"/>
  <c r="G804" i="1" s="1"/>
  <c r="E805" i="1"/>
  <c r="F805" i="1" s="1"/>
  <c r="G805" i="1" s="1"/>
  <c r="E806" i="1"/>
  <c r="F806" i="1" s="1"/>
  <c r="G806" i="1" s="1"/>
  <c r="E807" i="1"/>
  <c r="F807" i="1" s="1"/>
  <c r="G807" i="1" s="1"/>
  <c r="E808" i="1"/>
  <c r="F808" i="1" s="1"/>
  <c r="G808" i="1" s="1"/>
  <c r="E809" i="1"/>
  <c r="F809" i="1" s="1"/>
  <c r="G809" i="1" s="1"/>
  <c r="E810" i="1"/>
  <c r="F810" i="1" s="1"/>
  <c r="G810" i="1" s="1"/>
  <c r="E811" i="1"/>
  <c r="F811" i="1" s="1"/>
  <c r="G811" i="1" s="1"/>
  <c r="E812" i="1"/>
  <c r="F812" i="1" s="1"/>
  <c r="G812" i="1" s="1"/>
  <c r="E813" i="1"/>
  <c r="F813" i="1" s="1"/>
  <c r="G813" i="1" s="1"/>
  <c r="E814" i="1"/>
  <c r="F814" i="1" s="1"/>
  <c r="G814" i="1" s="1"/>
  <c r="E815" i="1"/>
  <c r="F815" i="1" s="1"/>
  <c r="G815" i="1" s="1"/>
  <c r="E816" i="1"/>
  <c r="F816" i="1" s="1"/>
  <c r="G816" i="1" s="1"/>
  <c r="E817" i="1"/>
  <c r="F817" i="1" s="1"/>
  <c r="G817" i="1" s="1"/>
  <c r="E818" i="1"/>
  <c r="F818" i="1" s="1"/>
  <c r="G818" i="1" s="1"/>
  <c r="E819" i="1"/>
  <c r="F819" i="1" s="1"/>
  <c r="G819" i="1" s="1"/>
  <c r="E820" i="1"/>
  <c r="F820" i="1" s="1"/>
  <c r="G820" i="1" s="1"/>
  <c r="E821" i="1"/>
  <c r="F821" i="1" s="1"/>
  <c r="G821" i="1" s="1"/>
  <c r="E822" i="1"/>
  <c r="F822" i="1" s="1"/>
  <c r="G822" i="1" s="1"/>
  <c r="E823" i="1"/>
  <c r="F823" i="1" s="1"/>
  <c r="G823" i="1" s="1"/>
  <c r="E824" i="1"/>
  <c r="F824" i="1" s="1"/>
  <c r="G824" i="1" s="1"/>
  <c r="E825" i="1"/>
  <c r="F825" i="1" s="1"/>
  <c r="G825" i="1" s="1"/>
  <c r="E826" i="1"/>
  <c r="F826" i="1" s="1"/>
  <c r="G826" i="1" s="1"/>
  <c r="E827" i="1"/>
  <c r="F827" i="1" s="1"/>
  <c r="G827" i="1" s="1"/>
  <c r="E828" i="1"/>
  <c r="F828" i="1" s="1"/>
  <c r="G828" i="1" s="1"/>
  <c r="E829" i="1"/>
  <c r="F829" i="1" s="1"/>
  <c r="G829" i="1" s="1"/>
  <c r="E830" i="1"/>
  <c r="F830" i="1" s="1"/>
  <c r="G830" i="1" s="1"/>
  <c r="E831" i="1"/>
  <c r="F831" i="1" s="1"/>
  <c r="G831" i="1" s="1"/>
  <c r="E832" i="1"/>
  <c r="F832" i="1" s="1"/>
  <c r="G832" i="1" s="1"/>
  <c r="E833" i="1"/>
  <c r="F833" i="1" s="1"/>
  <c r="G833" i="1" s="1"/>
  <c r="E834" i="1"/>
  <c r="F834" i="1" s="1"/>
  <c r="G834" i="1" s="1"/>
  <c r="E835" i="1"/>
  <c r="F835" i="1" s="1"/>
  <c r="G835" i="1" s="1"/>
  <c r="E836" i="1"/>
  <c r="F836" i="1" s="1"/>
  <c r="G836" i="1" s="1"/>
  <c r="E837" i="1"/>
  <c r="F837" i="1" s="1"/>
  <c r="G837" i="1" s="1"/>
  <c r="E838" i="1"/>
  <c r="F838" i="1" s="1"/>
  <c r="G838" i="1" s="1"/>
  <c r="E839" i="1"/>
  <c r="F839" i="1" s="1"/>
  <c r="G839" i="1" s="1"/>
  <c r="E840" i="1"/>
  <c r="F840" i="1" s="1"/>
  <c r="G840" i="1" s="1"/>
  <c r="E841" i="1"/>
  <c r="F841" i="1" s="1"/>
  <c r="G841" i="1" s="1"/>
  <c r="E842" i="1"/>
  <c r="F842" i="1" s="1"/>
  <c r="G842" i="1" s="1"/>
  <c r="E843" i="1"/>
  <c r="F843" i="1" s="1"/>
  <c r="G843" i="1" s="1"/>
  <c r="E844" i="1"/>
  <c r="F844" i="1" s="1"/>
  <c r="G844" i="1" s="1"/>
  <c r="E845" i="1"/>
  <c r="F845" i="1" s="1"/>
  <c r="G845" i="1" s="1"/>
  <c r="E846" i="1"/>
  <c r="F846" i="1" s="1"/>
  <c r="G846" i="1" s="1"/>
  <c r="E847" i="1"/>
  <c r="F847" i="1" s="1"/>
  <c r="G847" i="1" s="1"/>
  <c r="E848" i="1"/>
  <c r="F848" i="1" s="1"/>
  <c r="G848" i="1" s="1"/>
  <c r="E849" i="1"/>
  <c r="F849" i="1" s="1"/>
  <c r="G849" i="1" s="1"/>
  <c r="E850" i="1"/>
  <c r="F850" i="1" s="1"/>
  <c r="G850" i="1" s="1"/>
  <c r="E851" i="1"/>
  <c r="F851" i="1" s="1"/>
  <c r="G851" i="1" s="1"/>
  <c r="E852" i="1"/>
  <c r="F852" i="1" s="1"/>
  <c r="G852" i="1" s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F865" i="1" s="1"/>
  <c r="G865" i="1" s="1"/>
  <c r="E866" i="1"/>
  <c r="F866" i="1" s="1"/>
  <c r="G866" i="1" s="1"/>
  <c r="E867" i="1"/>
  <c r="E868" i="1"/>
  <c r="E869" i="1"/>
  <c r="E870" i="1"/>
  <c r="E871" i="1"/>
  <c r="F871" i="1" s="1"/>
  <c r="G871" i="1" s="1"/>
  <c r="E872" i="1"/>
  <c r="F872" i="1" s="1"/>
  <c r="G872" i="1" s="1"/>
  <c r="E873" i="1"/>
  <c r="E874" i="1"/>
  <c r="E875" i="1"/>
  <c r="F875" i="1" s="1"/>
  <c r="G875" i="1" s="1"/>
  <c r="E876" i="1"/>
  <c r="E877" i="1"/>
  <c r="E878" i="1"/>
  <c r="E879" i="1"/>
  <c r="E880" i="1"/>
  <c r="E881" i="1"/>
  <c r="F881" i="1" s="1"/>
  <c r="G881" i="1" s="1"/>
  <c r="E882" i="1"/>
  <c r="F882" i="1" s="1"/>
  <c r="G882" i="1" s="1"/>
  <c r="E883" i="1"/>
  <c r="F883" i="1" s="1"/>
  <c r="G883" i="1" s="1"/>
  <c r="E884" i="1"/>
  <c r="F884" i="1" s="1"/>
  <c r="G884" i="1" s="1"/>
  <c r="E885" i="1"/>
  <c r="F885" i="1" s="1"/>
  <c r="G885" i="1" s="1"/>
  <c r="E886" i="1"/>
  <c r="F886" i="1" s="1"/>
  <c r="G886" i="1" s="1"/>
  <c r="E887" i="1"/>
  <c r="F887" i="1" s="1"/>
  <c r="G887" i="1" s="1"/>
  <c r="E888" i="1"/>
  <c r="F888" i="1" s="1"/>
  <c r="G888" i="1" s="1"/>
  <c r="E889" i="1"/>
  <c r="F889" i="1" s="1"/>
  <c r="G889" i="1" s="1"/>
  <c r="E890" i="1"/>
  <c r="F890" i="1" s="1"/>
  <c r="G890" i="1" s="1"/>
  <c r="E891" i="1"/>
  <c r="F891" i="1" s="1"/>
  <c r="G891" i="1" s="1"/>
  <c r="E892" i="1"/>
  <c r="F892" i="1" s="1"/>
  <c r="G892" i="1" s="1"/>
  <c r="E893" i="1"/>
  <c r="F893" i="1" s="1"/>
  <c r="G893" i="1" s="1"/>
  <c r="E894" i="1"/>
  <c r="F894" i="1" s="1"/>
  <c r="G894" i="1" s="1"/>
  <c r="E895" i="1"/>
  <c r="F895" i="1" s="1"/>
  <c r="G895" i="1" s="1"/>
  <c r="E896" i="1"/>
  <c r="F896" i="1" s="1"/>
  <c r="G896" i="1" s="1"/>
  <c r="E897" i="1"/>
  <c r="F897" i="1" s="1"/>
  <c r="G897" i="1" s="1"/>
  <c r="E898" i="1"/>
  <c r="F898" i="1" s="1"/>
  <c r="G898" i="1" s="1"/>
  <c r="E899" i="1"/>
  <c r="F899" i="1" s="1"/>
  <c r="G899" i="1" s="1"/>
  <c r="E900" i="1"/>
  <c r="F900" i="1" s="1"/>
  <c r="G900" i="1" s="1"/>
  <c r="E901" i="1"/>
  <c r="F901" i="1" s="1"/>
  <c r="G901" i="1" s="1"/>
  <c r="E902" i="1"/>
  <c r="F902" i="1" s="1"/>
  <c r="G902" i="1" s="1"/>
  <c r="E903" i="1"/>
  <c r="F903" i="1" s="1"/>
  <c r="G903" i="1" s="1"/>
  <c r="E904" i="1"/>
  <c r="F904" i="1" s="1"/>
  <c r="G904" i="1" s="1"/>
  <c r="E905" i="1"/>
  <c r="F905" i="1" s="1"/>
  <c r="G905" i="1" s="1"/>
  <c r="E906" i="1"/>
  <c r="F906" i="1" s="1"/>
  <c r="G906" i="1" s="1"/>
  <c r="E907" i="1"/>
  <c r="F907" i="1" s="1"/>
  <c r="G907" i="1" s="1"/>
  <c r="E908" i="1"/>
  <c r="F908" i="1" s="1"/>
  <c r="G908" i="1" s="1"/>
  <c r="E909" i="1"/>
  <c r="F909" i="1" s="1"/>
  <c r="G909" i="1" s="1"/>
  <c r="E910" i="1"/>
  <c r="F910" i="1" s="1"/>
  <c r="G910" i="1" s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F924" i="1" s="1"/>
  <c r="G924" i="1" s="1"/>
  <c r="E925" i="1"/>
  <c r="F925" i="1" s="1"/>
  <c r="G925" i="1" s="1"/>
  <c r="E926" i="1"/>
  <c r="F926" i="1" s="1"/>
  <c r="G926" i="1" s="1"/>
  <c r="E927" i="1"/>
  <c r="F927" i="1" s="1"/>
  <c r="G927" i="1" s="1"/>
  <c r="E928" i="1"/>
  <c r="F928" i="1" s="1"/>
  <c r="G928" i="1" s="1"/>
  <c r="E929" i="1"/>
  <c r="F929" i="1" s="1"/>
  <c r="G929" i="1" s="1"/>
  <c r="E930" i="1"/>
  <c r="F930" i="1" s="1"/>
  <c r="G930" i="1" s="1"/>
  <c r="E931" i="1"/>
  <c r="F931" i="1" s="1"/>
  <c r="G931" i="1" s="1"/>
  <c r="E932" i="1"/>
  <c r="F932" i="1" s="1"/>
  <c r="G932" i="1" s="1"/>
  <c r="E933" i="1"/>
  <c r="F933" i="1" s="1"/>
  <c r="G933" i="1" s="1"/>
  <c r="E934" i="1"/>
  <c r="F934" i="1" s="1"/>
  <c r="G934" i="1" s="1"/>
  <c r="E935" i="1"/>
  <c r="F935" i="1" s="1"/>
  <c r="G935" i="1" s="1"/>
  <c r="E936" i="1"/>
  <c r="F936" i="1" s="1"/>
  <c r="G936" i="1" s="1"/>
  <c r="E937" i="1"/>
  <c r="F937" i="1" s="1"/>
  <c r="G937" i="1" s="1"/>
  <c r="E938" i="1"/>
  <c r="F938" i="1" s="1"/>
  <c r="G938" i="1" s="1"/>
  <c r="E939" i="1"/>
  <c r="F939" i="1" s="1"/>
  <c r="G939" i="1" s="1"/>
  <c r="E940" i="1"/>
  <c r="F940" i="1" s="1"/>
  <c r="G940" i="1" s="1"/>
  <c r="E941" i="1"/>
  <c r="F941" i="1" s="1"/>
  <c r="G941" i="1" s="1"/>
  <c r="E942" i="1"/>
  <c r="F942" i="1" s="1"/>
  <c r="G942" i="1" s="1"/>
  <c r="E943" i="1"/>
  <c r="F943" i="1" s="1"/>
  <c r="G943" i="1" s="1"/>
  <c r="E944" i="1"/>
  <c r="F944" i="1" s="1"/>
  <c r="G944" i="1" s="1"/>
  <c r="E945" i="1"/>
  <c r="F945" i="1" s="1"/>
  <c r="G945" i="1" s="1"/>
  <c r="E946" i="1"/>
  <c r="F946" i="1" s="1"/>
  <c r="G946" i="1" s="1"/>
  <c r="E947" i="1"/>
  <c r="F947" i="1" s="1"/>
  <c r="G947" i="1" s="1"/>
  <c r="E948" i="1"/>
  <c r="F948" i="1" s="1"/>
  <c r="G948" i="1" s="1"/>
  <c r="E949" i="1"/>
  <c r="F949" i="1" s="1"/>
  <c r="G949" i="1" s="1"/>
  <c r="E950" i="1"/>
  <c r="F950" i="1" s="1"/>
  <c r="G950" i="1" s="1"/>
  <c r="E951" i="1"/>
  <c r="F951" i="1" s="1"/>
  <c r="G951" i="1" s="1"/>
  <c r="E952" i="1"/>
  <c r="F952" i="1" s="1"/>
  <c r="G952" i="1" s="1"/>
  <c r="E953" i="1"/>
  <c r="F953" i="1" s="1"/>
  <c r="G953" i="1" s="1"/>
  <c r="E954" i="1"/>
  <c r="F954" i="1" s="1"/>
  <c r="G954" i="1" s="1"/>
  <c r="E955" i="1"/>
  <c r="F955" i="1" s="1"/>
  <c r="G955" i="1" s="1"/>
  <c r="E956" i="1"/>
  <c r="F956" i="1" s="1"/>
  <c r="G956" i="1" s="1"/>
  <c r="E957" i="1"/>
  <c r="F957" i="1" s="1"/>
  <c r="G957" i="1" s="1"/>
  <c r="E958" i="1"/>
  <c r="F958" i="1" s="1"/>
  <c r="G958" i="1" s="1"/>
  <c r="E959" i="1"/>
  <c r="F959" i="1" s="1"/>
  <c r="G959" i="1" s="1"/>
  <c r="E960" i="1"/>
  <c r="F960" i="1" s="1"/>
  <c r="G960" i="1" s="1"/>
  <c r="E961" i="1"/>
  <c r="F961" i="1" s="1"/>
  <c r="G961" i="1" s="1"/>
  <c r="E962" i="1"/>
  <c r="F962" i="1" s="1"/>
  <c r="G962" i="1" s="1"/>
  <c r="E963" i="1"/>
  <c r="F963" i="1" s="1"/>
  <c r="G963" i="1" s="1"/>
  <c r="E964" i="1"/>
  <c r="F964" i="1" s="1"/>
  <c r="G964" i="1" s="1"/>
  <c r="E965" i="1"/>
  <c r="F965" i="1" s="1"/>
  <c r="G965" i="1" s="1"/>
  <c r="E966" i="1"/>
  <c r="F966" i="1" s="1"/>
  <c r="G966" i="1" s="1"/>
  <c r="E967" i="1"/>
  <c r="F967" i="1" s="1"/>
  <c r="G967" i="1" s="1"/>
  <c r="E968" i="1"/>
  <c r="F968" i="1" s="1"/>
  <c r="G968" i="1" s="1"/>
  <c r="E969" i="1"/>
  <c r="F969" i="1" s="1"/>
  <c r="G969" i="1" s="1"/>
  <c r="E970" i="1"/>
  <c r="F970" i="1" s="1"/>
  <c r="G970" i="1" s="1"/>
  <c r="E971" i="1"/>
  <c r="F971" i="1" s="1"/>
  <c r="G971" i="1" s="1"/>
  <c r="E972" i="1"/>
  <c r="F972" i="1" s="1"/>
  <c r="G972" i="1" s="1"/>
  <c r="E973" i="1"/>
  <c r="F973" i="1" s="1"/>
  <c r="G973" i="1" s="1"/>
  <c r="E974" i="1"/>
  <c r="F974" i="1" s="1"/>
  <c r="G974" i="1" s="1"/>
  <c r="E975" i="1"/>
  <c r="F975" i="1" s="1"/>
  <c r="G975" i="1" s="1"/>
  <c r="E976" i="1"/>
  <c r="F976" i="1" s="1"/>
  <c r="G976" i="1" s="1"/>
  <c r="E977" i="1"/>
  <c r="F977" i="1" s="1"/>
  <c r="G977" i="1" s="1"/>
  <c r="E978" i="1"/>
  <c r="F978" i="1" s="1"/>
  <c r="G978" i="1" s="1"/>
  <c r="E979" i="1"/>
  <c r="F979" i="1" s="1"/>
  <c r="G979" i="1" s="1"/>
  <c r="E980" i="1"/>
  <c r="F980" i="1" s="1"/>
  <c r="G980" i="1" s="1"/>
  <c r="E981" i="1"/>
  <c r="F981" i="1" s="1"/>
  <c r="G981" i="1" s="1"/>
  <c r="E982" i="1"/>
  <c r="F982" i="1" s="1"/>
  <c r="G982" i="1" s="1"/>
  <c r="E983" i="1"/>
  <c r="F983" i="1" s="1"/>
  <c r="G983" i="1" s="1"/>
  <c r="E984" i="1"/>
  <c r="F984" i="1" s="1"/>
  <c r="G984" i="1" s="1"/>
  <c r="E985" i="1"/>
  <c r="F985" i="1" s="1"/>
  <c r="G985" i="1" s="1"/>
  <c r="E986" i="1"/>
  <c r="F986" i="1" s="1"/>
  <c r="G986" i="1" s="1"/>
  <c r="E987" i="1"/>
  <c r="F987" i="1" s="1"/>
  <c r="G987" i="1" s="1"/>
  <c r="E988" i="1"/>
  <c r="F988" i="1" s="1"/>
  <c r="G988" i="1" s="1"/>
  <c r="E989" i="1"/>
  <c r="F989" i="1" s="1"/>
  <c r="G989" i="1" s="1"/>
  <c r="E990" i="1"/>
  <c r="F990" i="1" s="1"/>
  <c r="G990" i="1" s="1"/>
  <c r="E991" i="1"/>
  <c r="F991" i="1" s="1"/>
  <c r="G991" i="1" s="1"/>
  <c r="E992" i="1"/>
  <c r="F992" i="1" s="1"/>
  <c r="G992" i="1" s="1"/>
  <c r="E993" i="1"/>
  <c r="F993" i="1" s="1"/>
  <c r="G993" i="1" s="1"/>
  <c r="E994" i="1"/>
  <c r="F994" i="1" s="1"/>
  <c r="G994" i="1" s="1"/>
  <c r="E995" i="1"/>
  <c r="F995" i="1" s="1"/>
  <c r="G995" i="1" s="1"/>
  <c r="E996" i="1"/>
  <c r="F996" i="1" s="1"/>
  <c r="G996" i="1" s="1"/>
  <c r="E997" i="1"/>
  <c r="F997" i="1" s="1"/>
  <c r="G997" i="1" s="1"/>
  <c r="E998" i="1"/>
  <c r="F998" i="1" s="1"/>
  <c r="G998" i="1" s="1"/>
  <c r="E999" i="1"/>
  <c r="F999" i="1" s="1"/>
  <c r="G999" i="1" s="1"/>
  <c r="E1000" i="1"/>
  <c r="F1000" i="1" s="1"/>
  <c r="G1000" i="1" s="1"/>
  <c r="E1001" i="1"/>
  <c r="F1001" i="1" s="1"/>
  <c r="G1001" i="1" s="1"/>
  <c r="E1002" i="1"/>
  <c r="F1002" i="1" s="1"/>
  <c r="G1002" i="1" s="1"/>
  <c r="E1003" i="1"/>
  <c r="F1003" i="1" s="1"/>
  <c r="G1003" i="1" s="1"/>
  <c r="E1004" i="1"/>
  <c r="F1004" i="1" s="1"/>
  <c r="G1004" i="1" s="1"/>
  <c r="E1005" i="1"/>
  <c r="F1005" i="1" s="1"/>
  <c r="G1005" i="1" s="1"/>
  <c r="E1006" i="1"/>
  <c r="F1006" i="1" s="1"/>
  <c r="G1006" i="1" s="1"/>
  <c r="E1007" i="1"/>
  <c r="F1007" i="1" s="1"/>
  <c r="G1007" i="1" s="1"/>
  <c r="E1008" i="1"/>
  <c r="F1008" i="1" s="1"/>
  <c r="G1008" i="1" s="1"/>
  <c r="E1009" i="1"/>
  <c r="F1009" i="1" s="1"/>
  <c r="G1009" i="1" s="1"/>
  <c r="E1010" i="1"/>
  <c r="F1010" i="1" s="1"/>
  <c r="G1010" i="1" s="1"/>
  <c r="E1011" i="1"/>
  <c r="F1011" i="1" s="1"/>
  <c r="G1011" i="1" s="1"/>
  <c r="E1012" i="1"/>
  <c r="F1012" i="1" s="1"/>
  <c r="G1012" i="1" s="1"/>
  <c r="E1013" i="1"/>
  <c r="F1013" i="1" s="1"/>
  <c r="G1013" i="1" s="1"/>
  <c r="E1014" i="1"/>
  <c r="F1014" i="1" s="1"/>
  <c r="G1014" i="1" s="1"/>
  <c r="E1015" i="1"/>
  <c r="F1015" i="1" s="1"/>
  <c r="G1015" i="1" s="1"/>
  <c r="E1016" i="1"/>
  <c r="F1016" i="1" s="1"/>
  <c r="G1016" i="1" s="1"/>
  <c r="E1017" i="1"/>
  <c r="F1017" i="1" s="1"/>
  <c r="G1017" i="1" s="1"/>
  <c r="E1018" i="1"/>
  <c r="F1018" i="1" s="1"/>
  <c r="G1018" i="1" s="1"/>
  <c r="E1019" i="1"/>
  <c r="F1019" i="1" s="1"/>
  <c r="G1019" i="1" s="1"/>
  <c r="E1020" i="1"/>
  <c r="E1021" i="1"/>
  <c r="E1022" i="1"/>
  <c r="F1022" i="1" s="1"/>
  <c r="G1022" i="1" s="1"/>
  <c r="E1023" i="1"/>
  <c r="E1024" i="1"/>
  <c r="E1025" i="1"/>
  <c r="E1026" i="1"/>
  <c r="E1027" i="1"/>
  <c r="E1028" i="1"/>
  <c r="E1029" i="1"/>
  <c r="E1030" i="1"/>
  <c r="E1031" i="1"/>
  <c r="F1031" i="1" s="1"/>
  <c r="G1031" i="1" s="1"/>
  <c r="E1032" i="1"/>
  <c r="F1032" i="1" s="1"/>
  <c r="G1032" i="1" s="1"/>
  <c r="E1033" i="1"/>
  <c r="F1033" i="1" s="1"/>
  <c r="G1033" i="1" s="1"/>
  <c r="E1034" i="1"/>
  <c r="F1034" i="1" s="1"/>
  <c r="G1034" i="1" s="1"/>
  <c r="E1035" i="1"/>
  <c r="F1035" i="1" s="1"/>
  <c r="G1035" i="1" s="1"/>
  <c r="E1036" i="1"/>
  <c r="F1036" i="1" s="1"/>
  <c r="G1036" i="1" s="1"/>
  <c r="E1037" i="1"/>
  <c r="F1037" i="1" s="1"/>
  <c r="G1037" i="1" s="1"/>
  <c r="E1038" i="1"/>
  <c r="F1038" i="1" s="1"/>
  <c r="G1038" i="1" s="1"/>
  <c r="E1039" i="1"/>
  <c r="E1040" i="1"/>
  <c r="E1041" i="1"/>
  <c r="E1042" i="1"/>
  <c r="E1043" i="1"/>
  <c r="E1044" i="1"/>
  <c r="E1045" i="1"/>
  <c r="E1046" i="1"/>
  <c r="E1047" i="1"/>
  <c r="E1048" i="1"/>
  <c r="F1048" i="1" s="1"/>
  <c r="G1048" i="1" s="1"/>
  <c r="E1049" i="1"/>
  <c r="F1049" i="1" s="1"/>
  <c r="G1049" i="1" s="1"/>
  <c r="E1050" i="1"/>
  <c r="F1050" i="1" s="1"/>
  <c r="G1050" i="1" s="1"/>
  <c r="E1051" i="1"/>
  <c r="F1051" i="1" s="1"/>
  <c r="G1051" i="1" s="1"/>
  <c r="E1052" i="1"/>
  <c r="F1052" i="1" s="1"/>
  <c r="G1052" i="1" s="1"/>
  <c r="E1053" i="1"/>
  <c r="F1053" i="1" s="1"/>
  <c r="G1053" i="1" s="1"/>
  <c r="E1054" i="1"/>
  <c r="F1054" i="1" s="1"/>
  <c r="G1054" i="1" s="1"/>
  <c r="E1055" i="1"/>
  <c r="F1055" i="1" s="1"/>
  <c r="G1055" i="1" s="1"/>
  <c r="E1056" i="1"/>
  <c r="F1056" i="1" s="1"/>
  <c r="G1056" i="1" s="1"/>
  <c r="E1057" i="1"/>
  <c r="F1057" i="1" s="1"/>
  <c r="G1057" i="1" s="1"/>
  <c r="E1058" i="1"/>
  <c r="F1058" i="1" s="1"/>
  <c r="G1058" i="1" s="1"/>
  <c r="E1059" i="1"/>
  <c r="F1059" i="1" s="1"/>
  <c r="G1059" i="1" s="1"/>
  <c r="E1060" i="1"/>
  <c r="F1060" i="1" s="1"/>
  <c r="G1060" i="1" s="1"/>
  <c r="E1061" i="1"/>
  <c r="F1061" i="1" s="1"/>
  <c r="G1061" i="1" s="1"/>
  <c r="E1062" i="1"/>
  <c r="F1062" i="1" s="1"/>
  <c r="G1062" i="1" s="1"/>
  <c r="E1063" i="1"/>
  <c r="F1063" i="1" s="1"/>
  <c r="G1063" i="1" s="1"/>
  <c r="E1064" i="1"/>
  <c r="F1064" i="1" s="1"/>
  <c r="G1064" i="1" s="1"/>
  <c r="E1065" i="1"/>
  <c r="F1065" i="1" s="1"/>
  <c r="G1065" i="1" s="1"/>
  <c r="E1066" i="1"/>
  <c r="F1066" i="1" s="1"/>
  <c r="G1066" i="1" s="1"/>
  <c r="E1067" i="1"/>
  <c r="F1067" i="1" s="1"/>
  <c r="G1067" i="1" s="1"/>
  <c r="E1068" i="1"/>
  <c r="F1068" i="1" s="1"/>
  <c r="G1068" i="1" s="1"/>
  <c r="E1069" i="1"/>
  <c r="F1069" i="1" s="1"/>
  <c r="G1069" i="1" s="1"/>
  <c r="E1070" i="1"/>
  <c r="F1070" i="1" s="1"/>
  <c r="G1070" i="1" s="1"/>
  <c r="E1071" i="1"/>
  <c r="F1071" i="1" s="1"/>
  <c r="G1071" i="1" s="1"/>
  <c r="E1072" i="1"/>
  <c r="F1072" i="1" s="1"/>
  <c r="G1072" i="1" s="1"/>
  <c r="E1073" i="1"/>
  <c r="F1073" i="1" s="1"/>
  <c r="G1073" i="1" s="1"/>
  <c r="E1074" i="1"/>
  <c r="F1074" i="1" s="1"/>
  <c r="G1074" i="1" s="1"/>
  <c r="E1075" i="1"/>
  <c r="F1075" i="1" s="1"/>
  <c r="G1075" i="1" s="1"/>
  <c r="E1076" i="1"/>
  <c r="F1076" i="1" s="1"/>
  <c r="G1076" i="1" s="1"/>
  <c r="E1077" i="1"/>
  <c r="F1077" i="1" s="1"/>
  <c r="G1077" i="1" s="1"/>
  <c r="E1078" i="1"/>
  <c r="F1078" i="1" s="1"/>
  <c r="G1078" i="1" s="1"/>
  <c r="E1079" i="1"/>
  <c r="F1079" i="1" s="1"/>
  <c r="G1079" i="1" s="1"/>
  <c r="E1080" i="1"/>
  <c r="F1080" i="1" s="1"/>
  <c r="G1080" i="1" s="1"/>
  <c r="E1081" i="1"/>
  <c r="F1081" i="1" s="1"/>
  <c r="G1081" i="1" s="1"/>
  <c r="E1082" i="1"/>
  <c r="F1082" i="1" s="1"/>
  <c r="G1082" i="1" s="1"/>
  <c r="E1083" i="1"/>
  <c r="F1083" i="1" s="1"/>
  <c r="G1083" i="1" s="1"/>
  <c r="E1084" i="1"/>
  <c r="F1084" i="1" s="1"/>
  <c r="G1084" i="1" s="1"/>
  <c r="E1085" i="1"/>
  <c r="F1085" i="1" s="1"/>
  <c r="G1085" i="1" s="1"/>
  <c r="E1086" i="1"/>
  <c r="F1086" i="1" s="1"/>
  <c r="G1086" i="1" s="1"/>
  <c r="E1087" i="1"/>
  <c r="F1087" i="1" s="1"/>
  <c r="G1087" i="1" s="1"/>
  <c r="E1088" i="1"/>
  <c r="F1088" i="1" s="1"/>
  <c r="G1088" i="1" s="1"/>
  <c r="E1089" i="1"/>
  <c r="F1089" i="1" s="1"/>
  <c r="G1089" i="1" s="1"/>
  <c r="E1090" i="1"/>
  <c r="F1090" i="1" s="1"/>
  <c r="G1090" i="1" s="1"/>
  <c r="E1091" i="1"/>
  <c r="F1091" i="1" s="1"/>
  <c r="G1091" i="1" s="1"/>
  <c r="E1092" i="1"/>
  <c r="E1093" i="1"/>
  <c r="E1094" i="1"/>
  <c r="E1095" i="1"/>
  <c r="F1095" i="1" s="1"/>
  <c r="G1095" i="1" s="1"/>
  <c r="E1096" i="1"/>
  <c r="F1096" i="1" s="1"/>
  <c r="G1096" i="1" s="1"/>
  <c r="E1097" i="1"/>
  <c r="F1097" i="1" s="1"/>
  <c r="G1097" i="1" s="1"/>
  <c r="E1098" i="1"/>
  <c r="E1099" i="1"/>
  <c r="E1100" i="1"/>
  <c r="E1101" i="1"/>
  <c r="E1102" i="1"/>
  <c r="E1103" i="1"/>
  <c r="E1104" i="1"/>
  <c r="F1104" i="1" s="1"/>
  <c r="G1104" i="1" s="1"/>
  <c r="E1105" i="1"/>
  <c r="F1105" i="1" s="1"/>
  <c r="G1105" i="1" s="1"/>
  <c r="E1106" i="1"/>
  <c r="F1106" i="1" s="1"/>
  <c r="G1106" i="1" s="1"/>
  <c r="E1107" i="1"/>
  <c r="F1107" i="1" s="1"/>
  <c r="G1107" i="1" s="1"/>
  <c r="E1108" i="1"/>
  <c r="F1108" i="1" s="1"/>
  <c r="G1108" i="1" s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F1120" i="1" s="1"/>
  <c r="G1120" i="1" s="1"/>
  <c r="E1121" i="1"/>
  <c r="F1121" i="1" s="1"/>
  <c r="G1121" i="1" s="1"/>
  <c r="E1122" i="1"/>
  <c r="F1122" i="1" s="1"/>
  <c r="G1122" i="1" s="1"/>
  <c r="E1123" i="1"/>
  <c r="F1123" i="1" s="1"/>
  <c r="G1123" i="1" s="1"/>
  <c r="E1124" i="1"/>
  <c r="F1124" i="1" s="1"/>
  <c r="G1124" i="1" s="1"/>
  <c r="E1125" i="1"/>
  <c r="F1125" i="1" s="1"/>
  <c r="G1125" i="1" s="1"/>
  <c r="E1126" i="1"/>
  <c r="F1126" i="1" s="1"/>
  <c r="G1126" i="1" s="1"/>
  <c r="E1127" i="1"/>
  <c r="F1127" i="1" s="1"/>
  <c r="G1127" i="1" s="1"/>
  <c r="E1128" i="1"/>
  <c r="F1128" i="1" s="1"/>
  <c r="G1128" i="1" s="1"/>
  <c r="E1129" i="1"/>
  <c r="F1129" i="1" s="1"/>
  <c r="G1129" i="1" s="1"/>
  <c r="E1130" i="1"/>
  <c r="F1130" i="1" s="1"/>
  <c r="G1130" i="1" s="1"/>
  <c r="E1131" i="1"/>
  <c r="F1131" i="1" s="1"/>
  <c r="G1131" i="1" s="1"/>
  <c r="E1132" i="1"/>
  <c r="F1132" i="1" s="1"/>
  <c r="G1132" i="1" s="1"/>
  <c r="E1133" i="1"/>
  <c r="F1133" i="1" s="1"/>
  <c r="G1133" i="1" s="1"/>
  <c r="E1134" i="1"/>
  <c r="F1134" i="1" s="1"/>
  <c r="G1134" i="1" s="1"/>
  <c r="E1135" i="1"/>
  <c r="F1135" i="1" s="1"/>
  <c r="G1135" i="1" s="1"/>
  <c r="E1136" i="1"/>
  <c r="F1136" i="1" s="1"/>
  <c r="G1136" i="1" s="1"/>
  <c r="E1137" i="1"/>
  <c r="F1137" i="1" s="1"/>
  <c r="G1137" i="1" s="1"/>
  <c r="E1138" i="1"/>
  <c r="F1138" i="1" s="1"/>
  <c r="G1138" i="1" s="1"/>
  <c r="E1139" i="1"/>
  <c r="F1139" i="1" s="1"/>
  <c r="G1139" i="1" s="1"/>
  <c r="E1140" i="1"/>
  <c r="F1140" i="1" s="1"/>
  <c r="G1140" i="1" s="1"/>
  <c r="E1141" i="1"/>
  <c r="F1141" i="1" s="1"/>
  <c r="G1141" i="1" s="1"/>
  <c r="E1142" i="1"/>
  <c r="F1142" i="1" s="1"/>
  <c r="G1142" i="1" s="1"/>
  <c r="E1143" i="1"/>
  <c r="F1143" i="1" s="1"/>
  <c r="G1143" i="1" s="1"/>
  <c r="E1144" i="1"/>
  <c r="F1144" i="1" s="1"/>
  <c r="G1144" i="1" s="1"/>
  <c r="E1145" i="1"/>
  <c r="F1145" i="1" s="1"/>
  <c r="G1145" i="1" s="1"/>
  <c r="E1146" i="1"/>
  <c r="F1146" i="1" s="1"/>
  <c r="G1146" i="1" s="1"/>
  <c r="E1147" i="1"/>
  <c r="F1147" i="1" s="1"/>
  <c r="G1147" i="1" s="1"/>
  <c r="E1148" i="1"/>
  <c r="F1148" i="1" s="1"/>
  <c r="G1148" i="1" s="1"/>
  <c r="E1149" i="1"/>
  <c r="F1149" i="1" s="1"/>
  <c r="G1149" i="1" s="1"/>
  <c r="E1150" i="1"/>
  <c r="F1150" i="1" s="1"/>
  <c r="G1150" i="1" s="1"/>
  <c r="E1151" i="1"/>
  <c r="F1151" i="1" s="1"/>
  <c r="G1151" i="1" s="1"/>
  <c r="E1152" i="1"/>
  <c r="F1152" i="1" s="1"/>
  <c r="G1152" i="1" s="1"/>
  <c r="E1153" i="1"/>
  <c r="F1153" i="1" s="1"/>
  <c r="G1153" i="1" s="1"/>
  <c r="E1154" i="1"/>
  <c r="F1154" i="1" s="1"/>
  <c r="G1154" i="1" s="1"/>
  <c r="E1155" i="1"/>
  <c r="F1155" i="1" s="1"/>
  <c r="G1155" i="1" s="1"/>
  <c r="E1156" i="1"/>
  <c r="F1156" i="1" s="1"/>
  <c r="G1156" i="1" s="1"/>
  <c r="E1157" i="1"/>
  <c r="F1157" i="1" s="1"/>
  <c r="G1157" i="1" s="1"/>
  <c r="E1158" i="1"/>
  <c r="F1158" i="1" s="1"/>
  <c r="G1158" i="1" s="1"/>
  <c r="E1159" i="1"/>
  <c r="F1159" i="1" s="1"/>
  <c r="G1159" i="1" s="1"/>
  <c r="E1160" i="1"/>
  <c r="F1160" i="1" s="1"/>
  <c r="G1160" i="1" s="1"/>
  <c r="E1161" i="1"/>
  <c r="F1161" i="1" s="1"/>
  <c r="G1161" i="1" s="1"/>
  <c r="E1162" i="1"/>
  <c r="E1163" i="1"/>
  <c r="E1164" i="1"/>
  <c r="F1164" i="1" s="1"/>
  <c r="G1164" i="1" s="1"/>
  <c r="E1165" i="1"/>
  <c r="F1165" i="1" s="1"/>
  <c r="G1165" i="1" s="1"/>
  <c r="E1166" i="1"/>
  <c r="F1166" i="1" s="1"/>
  <c r="G1166" i="1" s="1"/>
  <c r="E1167" i="1"/>
  <c r="F1167" i="1" s="1"/>
  <c r="G1167" i="1" s="1"/>
  <c r="E1168" i="1"/>
  <c r="F1168" i="1" s="1"/>
  <c r="G1168" i="1" s="1"/>
  <c r="E1169" i="1"/>
  <c r="F1169" i="1" s="1"/>
  <c r="G1169" i="1" s="1"/>
  <c r="E1170" i="1"/>
  <c r="F1170" i="1" s="1"/>
  <c r="G1170" i="1" s="1"/>
  <c r="E1171" i="1"/>
  <c r="F1171" i="1" s="1"/>
  <c r="G1171" i="1" s="1"/>
  <c r="E1172" i="1"/>
  <c r="F1172" i="1" s="1"/>
  <c r="G1172" i="1" s="1"/>
  <c r="E1173" i="1"/>
  <c r="F1173" i="1" s="1"/>
  <c r="G1173" i="1" s="1"/>
  <c r="E1174" i="1"/>
  <c r="F1174" i="1" s="1"/>
  <c r="G1174" i="1" s="1"/>
  <c r="E1175" i="1"/>
  <c r="F1175" i="1" s="1"/>
  <c r="G1175" i="1" s="1"/>
  <c r="E1176" i="1"/>
  <c r="F1176" i="1" s="1"/>
  <c r="G1176" i="1" s="1"/>
  <c r="E1177" i="1"/>
  <c r="F1177" i="1" s="1"/>
  <c r="G1177" i="1" s="1"/>
  <c r="E1178" i="1"/>
  <c r="F1178" i="1" s="1"/>
  <c r="G1178" i="1" s="1"/>
  <c r="E1179" i="1"/>
  <c r="F1179" i="1" s="1"/>
  <c r="G1179" i="1" s="1"/>
  <c r="E1180" i="1"/>
  <c r="F1180" i="1" s="1"/>
  <c r="G1180" i="1" s="1"/>
  <c r="E1181" i="1"/>
  <c r="F1181" i="1" s="1"/>
  <c r="G1181" i="1" s="1"/>
  <c r="E1182" i="1"/>
  <c r="F1182" i="1" s="1"/>
  <c r="G1182" i="1" s="1"/>
  <c r="E1183" i="1"/>
  <c r="F1183" i="1" s="1"/>
  <c r="G1183" i="1" s="1"/>
  <c r="E1184" i="1"/>
  <c r="F1184" i="1" s="1"/>
  <c r="G1184" i="1" s="1"/>
  <c r="E1185" i="1"/>
  <c r="F1185" i="1" s="1"/>
  <c r="G1185" i="1" s="1"/>
  <c r="E1186" i="1"/>
  <c r="F1186" i="1" s="1"/>
  <c r="G1186" i="1" s="1"/>
  <c r="E1187" i="1"/>
  <c r="F1187" i="1" s="1"/>
  <c r="G1187" i="1" s="1"/>
  <c r="E1188" i="1"/>
  <c r="F1188" i="1" s="1"/>
  <c r="G1188" i="1" s="1"/>
  <c r="E1189" i="1"/>
  <c r="F1189" i="1" s="1"/>
  <c r="G1189" i="1" s="1"/>
  <c r="E1190" i="1"/>
  <c r="F1190" i="1" s="1"/>
  <c r="G1190" i="1" s="1"/>
  <c r="E1191" i="1"/>
  <c r="F1191" i="1" s="1"/>
  <c r="G1191" i="1" s="1"/>
  <c r="E1192" i="1"/>
  <c r="F1192" i="1" s="1"/>
  <c r="G1192" i="1" s="1"/>
  <c r="E1193" i="1"/>
  <c r="F1193" i="1" s="1"/>
  <c r="G1193" i="1" s="1"/>
  <c r="E1194" i="1"/>
  <c r="F1194" i="1" s="1"/>
  <c r="G1194" i="1" s="1"/>
  <c r="E1195" i="1"/>
  <c r="F1195" i="1" s="1"/>
  <c r="G1195" i="1" s="1"/>
  <c r="E1196" i="1"/>
  <c r="E1197" i="1"/>
  <c r="E1198" i="1"/>
  <c r="E1199" i="1"/>
  <c r="F1199" i="1" s="1"/>
  <c r="G1199" i="1" s="1"/>
  <c r="E1200" i="1"/>
  <c r="E1201" i="1"/>
  <c r="E1202" i="1"/>
  <c r="E1203" i="1"/>
  <c r="E1204" i="1"/>
  <c r="E1205" i="1"/>
  <c r="E1206" i="1"/>
  <c r="E1207" i="1"/>
  <c r="E1208" i="1"/>
  <c r="E1209" i="1"/>
  <c r="E1210" i="1"/>
  <c r="F1210" i="1" s="1"/>
  <c r="G1210" i="1" s="1"/>
  <c r="E1211" i="1"/>
  <c r="F1211" i="1" s="1"/>
  <c r="G1211" i="1" s="1"/>
  <c r="E1212" i="1"/>
  <c r="F1212" i="1" s="1"/>
  <c r="G1212" i="1" s="1"/>
  <c r="E1213" i="1"/>
  <c r="F1213" i="1" s="1"/>
  <c r="G1213" i="1" s="1"/>
  <c r="E1214" i="1"/>
  <c r="F1214" i="1" s="1"/>
  <c r="G1214" i="1" s="1"/>
  <c r="E1215" i="1"/>
  <c r="E1216" i="1"/>
  <c r="E1217" i="1"/>
  <c r="E1218" i="1"/>
  <c r="F1218" i="1" s="1"/>
  <c r="G1218" i="1" s="1"/>
  <c r="E1219" i="1"/>
  <c r="E1220" i="1"/>
  <c r="E1221" i="1"/>
  <c r="E1222" i="1"/>
  <c r="E1223" i="1"/>
  <c r="E1224" i="1"/>
  <c r="E1225" i="1"/>
  <c r="E1226" i="1"/>
  <c r="E1227" i="1"/>
  <c r="E1228" i="1"/>
  <c r="F1228" i="1" s="1"/>
  <c r="G1228" i="1" s="1"/>
  <c r="E1229" i="1"/>
  <c r="F1229" i="1" s="1"/>
  <c r="G1229" i="1" s="1"/>
  <c r="E1230" i="1"/>
  <c r="F1230" i="1" s="1"/>
  <c r="G1230" i="1" s="1"/>
  <c r="E1231" i="1"/>
  <c r="F1231" i="1" s="1"/>
  <c r="G1231" i="1" s="1"/>
  <c r="E1232" i="1"/>
  <c r="F1232" i="1" s="1"/>
  <c r="G1232" i="1" s="1"/>
  <c r="E1233" i="1"/>
  <c r="F1233" i="1" s="1"/>
  <c r="G1233" i="1" s="1"/>
  <c r="E1234" i="1"/>
  <c r="F1234" i="1" s="1"/>
  <c r="G1234" i="1" s="1"/>
  <c r="E1235" i="1"/>
  <c r="F1235" i="1" s="1"/>
  <c r="G1235" i="1" s="1"/>
  <c r="E1236" i="1"/>
  <c r="F1236" i="1" s="1"/>
  <c r="G1236" i="1" s="1"/>
  <c r="E1237" i="1"/>
  <c r="E1238" i="1"/>
  <c r="F1238" i="1" s="1"/>
  <c r="G1238" i="1" s="1"/>
  <c r="E1239" i="1"/>
  <c r="E1240" i="1"/>
  <c r="E1241" i="1"/>
  <c r="E1242" i="1"/>
  <c r="E1243" i="1"/>
  <c r="E1244" i="1"/>
  <c r="E1245" i="1"/>
  <c r="E1246" i="1"/>
  <c r="E1247" i="1"/>
  <c r="F1247" i="1" s="1"/>
  <c r="G1247" i="1" s="1"/>
  <c r="E1248" i="1"/>
  <c r="F1248" i="1" s="1"/>
  <c r="G1248" i="1" s="1"/>
  <c r="E1249" i="1"/>
  <c r="F1249" i="1" s="1"/>
  <c r="G1249" i="1" s="1"/>
  <c r="E1250" i="1"/>
  <c r="F1250" i="1" s="1"/>
  <c r="G1250" i="1" s="1"/>
  <c r="E1251" i="1"/>
  <c r="F1251" i="1" s="1"/>
  <c r="G1251" i="1" s="1"/>
  <c r="E1252" i="1"/>
  <c r="F1252" i="1" s="1"/>
  <c r="G1252" i="1" s="1"/>
  <c r="E1253" i="1"/>
  <c r="F1253" i="1" s="1"/>
  <c r="G1253" i="1" s="1"/>
  <c r="E1254" i="1"/>
  <c r="F1254" i="1" s="1"/>
  <c r="G1254" i="1" s="1"/>
  <c r="E1255" i="1"/>
  <c r="F1255" i="1" s="1"/>
  <c r="G1255" i="1" s="1"/>
  <c r="E1256" i="1"/>
  <c r="F1256" i="1" s="1"/>
  <c r="G1256" i="1" s="1"/>
  <c r="E1257" i="1"/>
  <c r="E2" i="1"/>
  <c r="F1200" i="1" l="1"/>
  <c r="G1200" i="1" s="1"/>
  <c r="F1196" i="1"/>
  <c r="G1196" i="1" s="1"/>
  <c r="F1162" i="1"/>
  <c r="G1162" i="1" s="1"/>
  <c r="F1098" i="1"/>
  <c r="G1098" i="1" s="1"/>
  <c r="F1092" i="1"/>
  <c r="G1092" i="1" s="1"/>
  <c r="F1020" i="1"/>
  <c r="G1020" i="1" s="1"/>
  <c r="F876" i="1"/>
  <c r="G876" i="1" s="1"/>
  <c r="F792" i="1"/>
  <c r="G792" i="1" s="1"/>
  <c r="F784" i="1"/>
  <c r="G784" i="1" s="1"/>
  <c r="F760" i="1"/>
  <c r="G760" i="1" s="1"/>
  <c r="F710" i="1"/>
  <c r="G710" i="1" s="1"/>
  <c r="F690" i="1"/>
  <c r="G690" i="1" s="1"/>
  <c r="F662" i="1"/>
  <c r="G662" i="1" s="1"/>
  <c r="F614" i="1"/>
  <c r="G614" i="1" s="1"/>
  <c r="F556" i="1"/>
  <c r="G556" i="1" s="1"/>
  <c r="F552" i="1"/>
  <c r="G552" i="1" s="1"/>
  <c r="F526" i="1"/>
  <c r="G526" i="1" s="1"/>
  <c r="F522" i="1"/>
  <c r="G522" i="1" s="1"/>
  <c r="F462" i="1"/>
  <c r="G462" i="1" s="1"/>
  <c r="F440" i="1"/>
  <c r="G440" i="1" s="1"/>
  <c r="F314" i="1"/>
  <c r="G314" i="1" s="1"/>
  <c r="F126" i="1"/>
  <c r="G126" i="1" s="1"/>
  <c r="F124" i="1"/>
  <c r="G124" i="1" s="1"/>
  <c r="F120" i="1"/>
  <c r="G120" i="1" s="1"/>
  <c r="F72" i="1"/>
  <c r="G72" i="1" s="1"/>
  <c r="F68" i="1"/>
  <c r="G68" i="1" s="1"/>
  <c r="F66" i="1"/>
  <c r="G66" i="1" s="1"/>
  <c r="K3" i="1"/>
  <c r="F298" i="1"/>
  <c r="G298" i="1" s="1"/>
  <c r="F292" i="1"/>
  <c r="G292" i="1" s="1"/>
  <c r="F254" i="1"/>
  <c r="G254" i="1" s="1"/>
  <c r="F250" i="1"/>
  <c r="G250" i="1" s="1"/>
  <c r="F4" i="1"/>
  <c r="G4" i="1" s="1"/>
  <c r="H4" i="1" s="1" a="1"/>
  <c r="H4" i="1" s="1"/>
  <c r="F1257" i="1"/>
  <c r="F1239" i="1"/>
  <c r="G1239" i="1" s="1"/>
  <c r="F1237" i="1"/>
  <c r="G1237" i="1" s="1"/>
  <c r="F1219" i="1"/>
  <c r="F1215" i="1"/>
  <c r="G1215" i="1" s="1"/>
  <c r="F1201" i="1"/>
  <c r="G1201" i="1" s="1"/>
  <c r="F1197" i="1"/>
  <c r="G1197" i="1" s="1"/>
  <c r="F1163" i="1"/>
  <c r="G1163" i="1" s="1"/>
  <c r="F293" i="1"/>
  <c r="G293" i="1" s="1"/>
  <c r="F239" i="1"/>
  <c r="G238" i="1"/>
  <c r="F877" i="1"/>
  <c r="F295" i="1"/>
  <c r="G295" i="1" s="1"/>
  <c r="G294" i="1"/>
  <c r="F287" i="1"/>
  <c r="G286" i="1"/>
  <c r="F1109" i="1"/>
  <c r="G1109" i="1" s="1"/>
  <c r="F1093" i="1"/>
  <c r="G1093" i="1" s="1"/>
  <c r="F1039" i="1"/>
  <c r="G1039" i="1" s="1"/>
  <c r="F1023" i="1"/>
  <c r="G1023" i="1" s="1"/>
  <c r="F911" i="1"/>
  <c r="G911" i="1" s="1"/>
  <c r="F873" i="1"/>
  <c r="G873" i="1" s="1"/>
  <c r="F867" i="1"/>
  <c r="G867" i="1" s="1"/>
  <c r="F853" i="1"/>
  <c r="G853" i="1" s="1"/>
  <c r="F785" i="1"/>
  <c r="G785" i="1" s="1"/>
  <c r="F737" i="1"/>
  <c r="G737" i="1" s="1"/>
  <c r="F711" i="1"/>
  <c r="G711" i="1" s="1"/>
  <c r="F687" i="1"/>
  <c r="G687" i="1" s="1"/>
  <c r="F653" i="1"/>
  <c r="G653" i="1" s="1"/>
  <c r="F615" i="1"/>
  <c r="G615" i="1" s="1"/>
  <c r="F583" i="1"/>
  <c r="G583" i="1" s="1"/>
  <c r="F527" i="1"/>
  <c r="G527" i="1" s="1"/>
  <c r="F503" i="1"/>
  <c r="G503" i="1" s="1"/>
  <c r="F463" i="1"/>
  <c r="G463" i="1" s="1"/>
  <c r="F459" i="1"/>
  <c r="G459" i="1" s="1"/>
  <c r="F453" i="1"/>
  <c r="G453" i="1" s="1"/>
  <c r="F437" i="1"/>
  <c r="G437" i="1" s="1"/>
  <c r="F429" i="1"/>
  <c r="G429" i="1" s="1"/>
  <c r="F397" i="1"/>
  <c r="G397" i="1" s="1"/>
  <c r="F377" i="1"/>
  <c r="G377" i="1" s="1"/>
  <c r="F153" i="1"/>
  <c r="G153" i="1" s="1"/>
  <c r="F137" i="1"/>
  <c r="G137" i="1" s="1"/>
  <c r="F73" i="1"/>
  <c r="G73" i="1" s="1"/>
  <c r="H3" i="1" a="1"/>
  <c r="H3" i="1" s="1"/>
  <c r="H2" i="1" a="1"/>
  <c r="H2" i="1" s="1"/>
  <c r="I2" i="1" s="1"/>
  <c r="F441" i="1" l="1"/>
  <c r="G441" i="1" s="1"/>
  <c r="F691" i="1"/>
  <c r="G691" i="1" s="1"/>
  <c r="F1021" i="1"/>
  <c r="G1021" i="1" s="1"/>
  <c r="F1099" i="1"/>
  <c r="G1099" i="1" s="1"/>
  <c r="F5" i="1"/>
  <c r="G5" i="1" s="1"/>
  <c r="H5" i="1" s="1" a="1"/>
  <c r="H5" i="1" s="1"/>
  <c r="I5" i="1" s="1"/>
  <c r="F557" i="1"/>
  <c r="G557" i="1" s="1"/>
  <c r="F663" i="1"/>
  <c r="G663" i="1" s="1"/>
  <c r="F69" i="1"/>
  <c r="G69" i="1" s="1"/>
  <c r="F127" i="1"/>
  <c r="G127" i="1" s="1"/>
  <c r="F523" i="1"/>
  <c r="G523" i="1" s="1"/>
  <c r="F553" i="1"/>
  <c r="G553" i="1" s="1"/>
  <c r="F761" i="1"/>
  <c r="G761" i="1" s="1"/>
  <c r="F793" i="1"/>
  <c r="G793" i="1" s="1"/>
  <c r="I3" i="1"/>
  <c r="I4" i="1"/>
  <c r="F398" i="1"/>
  <c r="F464" i="1"/>
  <c r="G464" i="1" s="1"/>
  <c r="F584" i="1"/>
  <c r="F654" i="1"/>
  <c r="F712" i="1"/>
  <c r="F912" i="1"/>
  <c r="F74" i="1"/>
  <c r="F154" i="1"/>
  <c r="F240" i="1"/>
  <c r="G239" i="1"/>
  <c r="F438" i="1"/>
  <c r="G438" i="1" s="1"/>
  <c r="F454" i="1"/>
  <c r="F528" i="1"/>
  <c r="F854" i="1"/>
  <c r="F874" i="1"/>
  <c r="G874" i="1" s="1"/>
  <c r="F1024" i="1"/>
  <c r="F1040" i="1"/>
  <c r="F1094" i="1"/>
  <c r="G1094" i="1" s="1"/>
  <c r="F1110" i="1"/>
  <c r="F1202" i="1"/>
  <c r="F1240" i="1"/>
  <c r="F288" i="1"/>
  <c r="G287" i="1"/>
  <c r="F460" i="1"/>
  <c r="G460" i="1" s="1"/>
  <c r="F762" i="1"/>
  <c r="F868" i="1"/>
  <c r="F878" i="1"/>
  <c r="G877" i="1"/>
  <c r="F70" i="1"/>
  <c r="G70" i="1" s="1"/>
  <c r="F138" i="1"/>
  <c r="F378" i="1"/>
  <c r="F430" i="1"/>
  <c r="F442" i="1"/>
  <c r="F504" i="1"/>
  <c r="F558" i="1"/>
  <c r="F616" i="1"/>
  <c r="F738" i="1"/>
  <c r="F1220" i="1"/>
  <c r="G1219" i="1"/>
  <c r="F1216" i="1"/>
  <c r="F1198" i="1"/>
  <c r="G1198" i="1" s="1"/>
  <c r="F692" i="1" l="1"/>
  <c r="F1100" i="1"/>
  <c r="F1101" i="1" s="1"/>
  <c r="F6" i="1"/>
  <c r="G6" i="1" s="1"/>
  <c r="F664" i="1"/>
  <c r="F665" i="1" s="1"/>
  <c r="F128" i="1"/>
  <c r="G128" i="1" s="1"/>
  <c r="G1216" i="1"/>
  <c r="F1217" i="1"/>
  <c r="G1217" i="1" s="1"/>
  <c r="G616" i="1"/>
  <c r="F617" i="1"/>
  <c r="G430" i="1"/>
  <c r="F431" i="1"/>
  <c r="G738" i="1"/>
  <c r="F739" i="1"/>
  <c r="G558" i="1"/>
  <c r="F559" i="1"/>
  <c r="G442" i="1"/>
  <c r="F443" i="1"/>
  <c r="G443" i="1" s="1"/>
  <c r="G378" i="1"/>
  <c r="F379" i="1"/>
  <c r="F129" i="1"/>
  <c r="G868" i="1"/>
  <c r="F869" i="1"/>
  <c r="F693" i="1"/>
  <c r="G692" i="1"/>
  <c r="F7" i="1"/>
  <c r="G1202" i="1"/>
  <c r="F1203" i="1"/>
  <c r="G1024" i="1"/>
  <c r="F1025" i="1"/>
  <c r="G664" i="1"/>
  <c r="G454" i="1"/>
  <c r="F455" i="1"/>
  <c r="G154" i="1"/>
  <c r="F155" i="1"/>
  <c r="G912" i="1"/>
  <c r="F913" i="1"/>
  <c r="G654" i="1"/>
  <c r="F655" i="1"/>
  <c r="F1221" i="1"/>
  <c r="G1220" i="1"/>
  <c r="G504" i="1"/>
  <c r="F505" i="1"/>
  <c r="G138" i="1"/>
  <c r="F139" i="1"/>
  <c r="F879" i="1"/>
  <c r="G878" i="1"/>
  <c r="G762" i="1"/>
  <c r="F763" i="1"/>
  <c r="F289" i="1"/>
  <c r="G288" i="1"/>
  <c r="G1240" i="1"/>
  <c r="F1241" i="1"/>
  <c r="G1110" i="1"/>
  <c r="F1111" i="1"/>
  <c r="G1040" i="1"/>
  <c r="F1041" i="1"/>
  <c r="G854" i="1"/>
  <c r="F855" i="1"/>
  <c r="G528" i="1"/>
  <c r="F529" i="1"/>
  <c r="F241" i="1"/>
  <c r="G240" i="1"/>
  <c r="G74" i="1"/>
  <c r="F75" i="1"/>
  <c r="G75" i="1" s="1"/>
  <c r="G712" i="1"/>
  <c r="F713" i="1"/>
  <c r="G584" i="1"/>
  <c r="F585" i="1"/>
  <c r="G398" i="1"/>
  <c r="F399" i="1"/>
  <c r="G1100" i="1" l="1"/>
  <c r="G399" i="1"/>
  <c r="F400" i="1"/>
  <c r="G855" i="1"/>
  <c r="F856" i="1"/>
  <c r="G1101" i="1"/>
  <c r="F1102" i="1"/>
  <c r="G1041" i="1"/>
  <c r="F1042" i="1"/>
  <c r="G1111" i="1"/>
  <c r="F1112" i="1"/>
  <c r="G1241" i="1"/>
  <c r="F1242" i="1"/>
  <c r="G763" i="1"/>
  <c r="F764" i="1"/>
  <c r="G139" i="1"/>
  <c r="F140" i="1"/>
  <c r="F506" i="1"/>
  <c r="G505" i="1"/>
  <c r="G655" i="1"/>
  <c r="F656" i="1"/>
  <c r="G913" i="1"/>
  <c r="F914" i="1"/>
  <c r="G155" i="1"/>
  <c r="F156" i="1"/>
  <c r="G455" i="1"/>
  <c r="F456" i="1"/>
  <c r="G456" i="1" s="1"/>
  <c r="G665" i="1"/>
  <c r="F666" i="1"/>
  <c r="G666" i="1" s="1"/>
  <c r="G1025" i="1"/>
  <c r="F1026" i="1"/>
  <c r="G1203" i="1"/>
  <c r="F1204" i="1"/>
  <c r="G7" i="1"/>
  <c r="H7" i="1" s="1" a="1"/>
  <c r="H7" i="1" s="1"/>
  <c r="F8" i="1"/>
  <c r="G869" i="1"/>
  <c r="F870" i="1"/>
  <c r="G870" i="1" s="1"/>
  <c r="G129" i="1"/>
  <c r="F130" i="1"/>
  <c r="G379" i="1"/>
  <c r="F380" i="1"/>
  <c r="G559" i="1"/>
  <c r="F560" i="1"/>
  <c r="G560" i="1" s="1"/>
  <c r="G739" i="1"/>
  <c r="F740" i="1"/>
  <c r="G431" i="1"/>
  <c r="F432" i="1"/>
  <c r="G617" i="1"/>
  <c r="F618" i="1"/>
  <c r="G585" i="1"/>
  <c r="F586" i="1"/>
  <c r="G713" i="1"/>
  <c r="F714" i="1"/>
  <c r="G529" i="1"/>
  <c r="F530" i="1"/>
  <c r="F242" i="1"/>
  <c r="G242" i="1" s="1"/>
  <c r="G241" i="1"/>
  <c r="F290" i="1"/>
  <c r="G290" i="1" s="1"/>
  <c r="G289" i="1"/>
  <c r="F880" i="1"/>
  <c r="G880" i="1" s="1"/>
  <c r="G879" i="1"/>
  <c r="F1222" i="1"/>
  <c r="G1221" i="1"/>
  <c r="H6" i="1" a="1"/>
  <c r="H6" i="1" s="1"/>
  <c r="I6" i="1" s="1"/>
  <c r="F694" i="1"/>
  <c r="G693" i="1"/>
  <c r="I7" i="1" l="1"/>
  <c r="G530" i="1"/>
  <c r="F531" i="1"/>
  <c r="G714" i="1"/>
  <c r="F715" i="1"/>
  <c r="G586" i="1"/>
  <c r="F587" i="1"/>
  <c r="G618" i="1"/>
  <c r="F619" i="1"/>
  <c r="G432" i="1"/>
  <c r="F433" i="1"/>
  <c r="G433" i="1" s="1"/>
  <c r="G740" i="1"/>
  <c r="F741" i="1"/>
  <c r="G380" i="1"/>
  <c r="F381" i="1"/>
  <c r="G130" i="1"/>
  <c r="F131" i="1"/>
  <c r="G8" i="1"/>
  <c r="F9" i="1"/>
  <c r="G1204" i="1"/>
  <c r="F1205" i="1"/>
  <c r="G1026" i="1"/>
  <c r="F1027" i="1"/>
  <c r="G156" i="1"/>
  <c r="F157" i="1"/>
  <c r="G157" i="1" s="1"/>
  <c r="G914" i="1"/>
  <c r="F915" i="1"/>
  <c r="G656" i="1"/>
  <c r="F657" i="1"/>
  <c r="G140" i="1"/>
  <c r="F141" i="1"/>
  <c r="G764" i="1"/>
  <c r="F765" i="1"/>
  <c r="G1242" i="1"/>
  <c r="F1243" i="1"/>
  <c r="G1112" i="1"/>
  <c r="F1113" i="1"/>
  <c r="G1042" i="1"/>
  <c r="F1043" i="1"/>
  <c r="G1102" i="1"/>
  <c r="F1103" i="1"/>
  <c r="G1103" i="1" s="1"/>
  <c r="G856" i="1"/>
  <c r="F857" i="1"/>
  <c r="G400" i="1"/>
  <c r="F401" i="1"/>
  <c r="F695" i="1"/>
  <c r="G694" i="1"/>
  <c r="F1223" i="1"/>
  <c r="G1222" i="1"/>
  <c r="F507" i="1"/>
  <c r="G506" i="1"/>
  <c r="G1113" i="1" l="1"/>
  <c r="F1114" i="1"/>
  <c r="G141" i="1"/>
  <c r="F142" i="1"/>
  <c r="G1205" i="1"/>
  <c r="F1206" i="1"/>
  <c r="G131" i="1"/>
  <c r="F132" i="1"/>
  <c r="G381" i="1"/>
  <c r="F382" i="1"/>
  <c r="G741" i="1"/>
  <c r="F742" i="1"/>
  <c r="G619" i="1"/>
  <c r="F620" i="1"/>
  <c r="G587" i="1"/>
  <c r="F588" i="1"/>
  <c r="G715" i="1"/>
  <c r="F716" i="1"/>
  <c r="G531" i="1"/>
  <c r="F532" i="1"/>
  <c r="G532" i="1" s="1"/>
  <c r="G401" i="1"/>
  <c r="F402" i="1"/>
  <c r="G857" i="1"/>
  <c r="F858" i="1"/>
  <c r="G1043" i="1"/>
  <c r="F1044" i="1"/>
  <c r="G1243" i="1"/>
  <c r="F1244" i="1"/>
  <c r="G765" i="1"/>
  <c r="F766" i="1"/>
  <c r="G657" i="1"/>
  <c r="F658" i="1"/>
  <c r="G915" i="1"/>
  <c r="F916" i="1"/>
  <c r="G1027" i="1"/>
  <c r="F1028" i="1"/>
  <c r="F10" i="1"/>
  <c r="G9" i="1"/>
  <c r="F508" i="1"/>
  <c r="G507" i="1"/>
  <c r="F1224" i="1"/>
  <c r="G1223" i="1"/>
  <c r="F696" i="1"/>
  <c r="G695" i="1"/>
  <c r="H8" i="1" a="1"/>
  <c r="H8" i="1" s="1"/>
  <c r="I8" i="1" s="1"/>
  <c r="H9" i="1" a="1"/>
  <c r="H9" i="1" s="1"/>
  <c r="I9" i="1" l="1"/>
  <c r="G1028" i="1"/>
  <c r="F1029" i="1"/>
  <c r="G916" i="1"/>
  <c r="F917" i="1"/>
  <c r="G658" i="1"/>
  <c r="F659" i="1"/>
  <c r="G766" i="1"/>
  <c r="F767" i="1"/>
  <c r="G1244" i="1"/>
  <c r="F1245" i="1"/>
  <c r="G1044" i="1"/>
  <c r="F1045" i="1"/>
  <c r="G858" i="1"/>
  <c r="F859" i="1"/>
  <c r="G402" i="1"/>
  <c r="F403" i="1"/>
  <c r="G716" i="1"/>
  <c r="F717" i="1"/>
  <c r="G588" i="1"/>
  <c r="F589" i="1"/>
  <c r="G620" i="1"/>
  <c r="F621" i="1"/>
  <c r="G742" i="1"/>
  <c r="F743" i="1"/>
  <c r="G382" i="1"/>
  <c r="F383" i="1"/>
  <c r="G132" i="1"/>
  <c r="F133" i="1"/>
  <c r="G133" i="1" s="1"/>
  <c r="G1206" i="1"/>
  <c r="F1207" i="1"/>
  <c r="G142" i="1"/>
  <c r="F143" i="1"/>
  <c r="G1114" i="1"/>
  <c r="F1115" i="1"/>
  <c r="F697" i="1"/>
  <c r="G696" i="1"/>
  <c r="F1225" i="1"/>
  <c r="G1224" i="1"/>
  <c r="F509" i="1"/>
  <c r="G508" i="1"/>
  <c r="F11" i="1"/>
  <c r="G10" i="1"/>
  <c r="G1115" i="1" l="1"/>
  <c r="F1116" i="1"/>
  <c r="G1207" i="1"/>
  <c r="F1208" i="1"/>
  <c r="G743" i="1"/>
  <c r="F744" i="1"/>
  <c r="G589" i="1"/>
  <c r="F590" i="1"/>
  <c r="G717" i="1"/>
  <c r="F718" i="1"/>
  <c r="G859" i="1"/>
  <c r="F860" i="1"/>
  <c r="F12" i="1"/>
  <c r="G11" i="1"/>
  <c r="F510" i="1"/>
  <c r="G509" i="1"/>
  <c r="F1226" i="1"/>
  <c r="G1225" i="1"/>
  <c r="F698" i="1"/>
  <c r="G697" i="1"/>
  <c r="G143" i="1"/>
  <c r="F144" i="1"/>
  <c r="G383" i="1"/>
  <c r="F384" i="1"/>
  <c r="G621" i="1"/>
  <c r="F622" i="1"/>
  <c r="G403" i="1"/>
  <c r="F404" i="1"/>
  <c r="G1045" i="1"/>
  <c r="F1046" i="1"/>
  <c r="G1245" i="1"/>
  <c r="F1246" i="1"/>
  <c r="G1246" i="1" s="1"/>
  <c r="G767" i="1"/>
  <c r="F768" i="1"/>
  <c r="G659" i="1"/>
  <c r="F660" i="1"/>
  <c r="G660" i="1" s="1"/>
  <c r="G917" i="1"/>
  <c r="F918" i="1"/>
  <c r="G1029" i="1"/>
  <c r="F1030" i="1"/>
  <c r="G1030" i="1" s="1"/>
  <c r="H10" i="1" a="1"/>
  <c r="H10" i="1" s="1"/>
  <c r="I10" i="1" s="1"/>
  <c r="F699" i="1" l="1"/>
  <c r="G698" i="1"/>
  <c r="F1227" i="1"/>
  <c r="G1227" i="1" s="1"/>
  <c r="G1226" i="1"/>
  <c r="F511" i="1"/>
  <c r="G510" i="1"/>
  <c r="F13" i="1"/>
  <c r="G12" i="1"/>
  <c r="H12" i="1" s="1" a="1"/>
  <c r="H12" i="1" s="1"/>
  <c r="G918" i="1"/>
  <c r="F919" i="1"/>
  <c r="G768" i="1"/>
  <c r="F769" i="1"/>
  <c r="G1046" i="1"/>
  <c r="F1047" i="1"/>
  <c r="G1047" i="1" s="1"/>
  <c r="G404" i="1"/>
  <c r="F405" i="1"/>
  <c r="G622" i="1"/>
  <c r="F623" i="1"/>
  <c r="G384" i="1"/>
  <c r="F385" i="1"/>
  <c r="G385" i="1" s="1"/>
  <c r="G144" i="1"/>
  <c r="F145" i="1"/>
  <c r="G860" i="1"/>
  <c r="F861" i="1"/>
  <c r="G718" i="1"/>
  <c r="F719" i="1"/>
  <c r="G719" i="1" s="1"/>
  <c r="G590" i="1"/>
  <c r="F591" i="1"/>
  <c r="G744" i="1"/>
  <c r="F745" i="1"/>
  <c r="G1208" i="1"/>
  <c r="F1209" i="1"/>
  <c r="G1209" i="1" s="1"/>
  <c r="G1116" i="1"/>
  <c r="F1117" i="1"/>
  <c r="H11" i="1" a="1"/>
  <c r="H11" i="1" s="1"/>
  <c r="I11" i="1" s="1"/>
  <c r="I12" i="1" l="1"/>
  <c r="G1117" i="1"/>
  <c r="F1118" i="1"/>
  <c r="G745" i="1"/>
  <c r="F746" i="1"/>
  <c r="G591" i="1"/>
  <c r="F592" i="1"/>
  <c r="G861" i="1"/>
  <c r="F862" i="1"/>
  <c r="G145" i="1"/>
  <c r="F146" i="1"/>
  <c r="G623" i="1"/>
  <c r="F624" i="1"/>
  <c r="G405" i="1"/>
  <c r="F406" i="1"/>
  <c r="G406" i="1" s="1"/>
  <c r="G769" i="1"/>
  <c r="F770" i="1"/>
  <c r="G770" i="1" s="1"/>
  <c r="G919" i="1"/>
  <c r="F920" i="1"/>
  <c r="F14" i="1"/>
  <c r="G13" i="1"/>
  <c r="H13" i="1" s="1" a="1"/>
  <c r="H13" i="1" s="1"/>
  <c r="I13" i="1" s="1"/>
  <c r="F512" i="1"/>
  <c r="G512" i="1" s="1"/>
  <c r="G511" i="1"/>
  <c r="F700" i="1"/>
  <c r="G699" i="1"/>
  <c r="F701" i="1" l="1"/>
  <c r="G701" i="1" s="1"/>
  <c r="G700" i="1"/>
  <c r="F15" i="1"/>
  <c r="G14" i="1"/>
  <c r="G920" i="1"/>
  <c r="F921" i="1"/>
  <c r="G624" i="1"/>
  <c r="F625" i="1"/>
  <c r="G146" i="1"/>
  <c r="F147" i="1"/>
  <c r="G862" i="1"/>
  <c r="F863" i="1"/>
  <c r="G592" i="1"/>
  <c r="F593" i="1"/>
  <c r="G746" i="1"/>
  <c r="F747" i="1"/>
  <c r="G1118" i="1"/>
  <c r="F1119" i="1"/>
  <c r="G1119" i="1" s="1"/>
  <c r="H14" i="1" l="1" a="1"/>
  <c r="H14" i="1" s="1"/>
  <c r="I14" i="1" s="1"/>
  <c r="G747" i="1"/>
  <c r="F748" i="1"/>
  <c r="G593" i="1"/>
  <c r="F594" i="1"/>
  <c r="G594" i="1" s="1"/>
  <c r="G863" i="1"/>
  <c r="F864" i="1"/>
  <c r="G864" i="1" s="1"/>
  <c r="G147" i="1"/>
  <c r="F148" i="1"/>
  <c r="G148" i="1" s="1"/>
  <c r="G625" i="1"/>
  <c r="F626" i="1"/>
  <c r="G921" i="1"/>
  <c r="F922" i="1"/>
  <c r="F16" i="1"/>
  <c r="G15" i="1"/>
  <c r="H15" i="1" l="1" a="1"/>
  <c r="H15" i="1" s="1"/>
  <c r="I15" i="1" s="1"/>
  <c r="F17" i="1"/>
  <c r="G16" i="1"/>
  <c r="G922" i="1"/>
  <c r="F923" i="1"/>
  <c r="G923" i="1" s="1"/>
  <c r="G626" i="1"/>
  <c r="F627" i="1"/>
  <c r="G627" i="1" s="1"/>
  <c r="G748" i="1"/>
  <c r="F749" i="1"/>
  <c r="G749" i="1" s="1"/>
  <c r="H16" i="1" l="1" a="1"/>
  <c r="H16" i="1" s="1"/>
  <c r="I16" i="1" s="1"/>
  <c r="F18" i="1"/>
  <c r="G17" i="1"/>
  <c r="H17" i="1" l="1" a="1"/>
  <c r="H17" i="1" s="1"/>
  <c r="I17" i="1" s="1"/>
  <c r="F19" i="1"/>
  <c r="G18" i="1"/>
  <c r="F20" i="1" l="1"/>
  <c r="G19" i="1"/>
  <c r="H18" i="1" a="1"/>
  <c r="H18" i="1" s="1"/>
  <c r="I18" i="1" s="1"/>
  <c r="F21" i="1" l="1"/>
  <c r="G20" i="1"/>
  <c r="H19" i="1" a="1"/>
  <c r="H19" i="1" s="1"/>
  <c r="I19" i="1" s="1"/>
  <c r="F22" i="1" l="1"/>
  <c r="G21" i="1"/>
  <c r="H20" i="1" a="1"/>
  <c r="H20" i="1" s="1"/>
  <c r="I20" i="1" s="1"/>
  <c r="F23" i="1" l="1"/>
  <c r="G22" i="1"/>
  <c r="H21" i="1" a="1"/>
  <c r="H21" i="1" s="1"/>
  <c r="I21" i="1" s="1"/>
  <c r="F24" i="1" l="1"/>
  <c r="G23" i="1"/>
  <c r="H22" i="1" a="1"/>
  <c r="H22" i="1" s="1"/>
  <c r="I22" i="1" s="1"/>
  <c r="H23" i="1" l="1" a="1"/>
  <c r="H23" i="1" s="1"/>
  <c r="I23" i="1" s="1"/>
  <c r="F25" i="1"/>
  <c r="G24" i="1"/>
  <c r="H24" i="1" s="1" a="1"/>
  <c r="H24" i="1" s="1"/>
  <c r="I24" i="1" s="1"/>
  <c r="F26" i="1" l="1"/>
  <c r="G25" i="1"/>
  <c r="H25" i="1" s="1" a="1"/>
  <c r="H25" i="1" s="1"/>
  <c r="I25" i="1" s="1"/>
  <c r="F27" i="1" l="1"/>
  <c r="G26" i="1"/>
  <c r="H26" i="1" s="1" a="1"/>
  <c r="H26" i="1" s="1"/>
  <c r="I26" i="1" s="1"/>
  <c r="F28" i="1" l="1"/>
  <c r="G27" i="1"/>
  <c r="H27" i="1" s="1" a="1"/>
  <c r="H27" i="1" s="1"/>
  <c r="I27" i="1" s="1"/>
  <c r="F29" i="1" l="1"/>
  <c r="G28" i="1"/>
  <c r="H28" i="1" s="1" a="1"/>
  <c r="H28" i="1" s="1"/>
  <c r="I28" i="1" s="1"/>
  <c r="F30" i="1" l="1"/>
  <c r="G29" i="1"/>
  <c r="H29" i="1" s="1" a="1"/>
  <c r="H29" i="1" s="1"/>
  <c r="I29" i="1" s="1"/>
  <c r="F31" i="1" l="1"/>
  <c r="G30" i="1"/>
  <c r="H30" i="1" s="1" a="1"/>
  <c r="H30" i="1" s="1"/>
  <c r="I30" i="1" s="1"/>
  <c r="F32" i="1" l="1"/>
  <c r="G31" i="1"/>
  <c r="H31" i="1" s="1" a="1"/>
  <c r="H31" i="1" s="1"/>
  <c r="I31" i="1" s="1"/>
  <c r="F33" i="1" l="1"/>
  <c r="G32" i="1"/>
  <c r="H32" i="1" s="1" a="1"/>
  <c r="H32" i="1" s="1"/>
  <c r="I32" i="1" s="1"/>
  <c r="F34" i="1" l="1"/>
  <c r="G33" i="1"/>
  <c r="H33" i="1" s="1" a="1"/>
  <c r="H33" i="1" s="1"/>
  <c r="I33" i="1" s="1"/>
  <c r="F35" i="1" l="1"/>
  <c r="G34" i="1"/>
  <c r="H34" i="1" s="1" a="1"/>
  <c r="H34" i="1" s="1"/>
  <c r="I34" i="1" s="1"/>
  <c r="F36" i="1" l="1"/>
  <c r="G35" i="1"/>
  <c r="H35" i="1" s="1" a="1"/>
  <c r="H35" i="1" s="1"/>
  <c r="I35" i="1" s="1"/>
  <c r="F37" i="1" l="1"/>
  <c r="G36" i="1"/>
  <c r="H36" i="1" s="1" a="1"/>
  <c r="H36" i="1" s="1"/>
  <c r="I36" i="1" s="1"/>
  <c r="F38" i="1" l="1"/>
  <c r="G37" i="1"/>
  <c r="H37" i="1" s="1" a="1"/>
  <c r="H37" i="1" s="1"/>
  <c r="I37" i="1" s="1"/>
  <c r="F39" i="1" l="1"/>
  <c r="G38" i="1"/>
  <c r="H38" i="1" s="1" a="1"/>
  <c r="H38" i="1" s="1"/>
  <c r="I38" i="1" s="1"/>
  <c r="F40" i="1" l="1"/>
  <c r="G39" i="1"/>
  <c r="H39" i="1" s="1" a="1"/>
  <c r="H39" i="1" s="1"/>
  <c r="I39" i="1" s="1"/>
  <c r="F41" i="1" l="1"/>
  <c r="G40" i="1"/>
  <c r="H40" i="1" s="1" a="1"/>
  <c r="H40" i="1" s="1"/>
  <c r="I40" i="1" s="1"/>
  <c r="F42" i="1" l="1"/>
  <c r="G41" i="1"/>
  <c r="H41" i="1" s="1" a="1"/>
  <c r="H41" i="1" s="1"/>
  <c r="I41" i="1" s="1"/>
  <c r="F43" i="1" l="1"/>
  <c r="G42" i="1"/>
  <c r="H42" i="1" s="1" a="1"/>
  <c r="H42" i="1" s="1"/>
  <c r="I42" i="1" s="1"/>
  <c r="F44" i="1" l="1"/>
  <c r="G43" i="1"/>
  <c r="H43" i="1" s="1" a="1"/>
  <c r="H43" i="1" s="1"/>
  <c r="I43" i="1" s="1"/>
  <c r="F45" i="1" l="1"/>
  <c r="G44" i="1"/>
  <c r="H44" i="1" s="1" a="1"/>
  <c r="H44" i="1" s="1"/>
  <c r="I44" i="1" s="1"/>
  <c r="F46" i="1" l="1"/>
  <c r="G45" i="1"/>
  <c r="H45" i="1" s="1" a="1"/>
  <c r="H45" i="1" s="1"/>
  <c r="I45" i="1" s="1"/>
  <c r="F47" i="1" l="1"/>
  <c r="G46" i="1"/>
  <c r="H46" i="1" s="1" a="1"/>
  <c r="H46" i="1" s="1"/>
  <c r="I46" i="1" s="1"/>
  <c r="F48" i="1" l="1"/>
  <c r="G47" i="1"/>
  <c r="H47" i="1" s="1" a="1"/>
  <c r="H47" i="1" s="1"/>
  <c r="I47" i="1" s="1"/>
  <c r="F49" i="1" l="1"/>
  <c r="G48" i="1"/>
  <c r="H48" i="1" s="1" a="1"/>
  <c r="H48" i="1" s="1"/>
  <c r="I48" i="1" s="1"/>
  <c r="F50" i="1" l="1"/>
  <c r="G50" i="1" s="1"/>
  <c r="G49" i="1"/>
  <c r="H49" i="1" s="1" a="1"/>
  <c r="H49" i="1" s="1"/>
  <c r="I49" i="1" s="1"/>
  <c r="H1257" i="1" l="1" a="1"/>
  <c r="H1257" i="1" s="1"/>
  <c r="H120" i="1" a="1"/>
  <c r="H120" i="1" s="1"/>
  <c r="H61" i="1" a="1"/>
  <c r="H61" i="1" s="1"/>
  <c r="H97" i="1" a="1"/>
  <c r="H97" i="1" s="1"/>
  <c r="H142" i="1" a="1"/>
  <c r="H142" i="1" s="1"/>
  <c r="H72" i="1" a="1"/>
  <c r="H72" i="1" s="1"/>
  <c r="H93" i="1" a="1"/>
  <c r="H93" i="1" s="1"/>
  <c r="H140" i="1" a="1"/>
  <c r="H140" i="1" s="1"/>
  <c r="H71" i="1" a="1"/>
  <c r="H71" i="1" s="1"/>
  <c r="H121" i="1" a="1"/>
  <c r="H121" i="1" s="1"/>
  <c r="H95" i="1" a="1"/>
  <c r="H95" i="1" s="1"/>
  <c r="H90" i="1" a="1"/>
  <c r="H90" i="1" s="1"/>
  <c r="H78" i="1" a="1"/>
  <c r="H78" i="1" s="1"/>
  <c r="H101" i="1" a="1"/>
  <c r="H101" i="1" s="1"/>
  <c r="H73" i="1" a="1"/>
  <c r="H73" i="1" s="1"/>
  <c r="H113" i="1" a="1"/>
  <c r="H113" i="1" s="1"/>
  <c r="H76" i="1" a="1"/>
  <c r="H76" i="1" s="1"/>
  <c r="H141" i="1" a="1"/>
  <c r="H141" i="1" s="1"/>
  <c r="H115" i="1" a="1"/>
  <c r="H115" i="1" s="1"/>
  <c r="H100" i="1" a="1"/>
  <c r="H100" i="1" s="1"/>
  <c r="H83" i="1" a="1"/>
  <c r="H83" i="1" s="1"/>
  <c r="H51" i="1" a="1"/>
  <c r="H51" i="1" s="1"/>
  <c r="H143" i="1" a="1"/>
  <c r="H143" i="1" s="1"/>
  <c r="H114" i="1" a="1"/>
  <c r="H114" i="1" s="1"/>
  <c r="H58" i="1" a="1"/>
  <c r="H58" i="1" s="1"/>
  <c r="H136" i="1" a="1"/>
  <c r="H136" i="1" s="1"/>
  <c r="H69" i="1" a="1"/>
  <c r="H69" i="1" s="1"/>
  <c r="H129" i="1" a="1"/>
  <c r="H129" i="1" s="1"/>
  <c r="H103" i="1" a="1"/>
  <c r="H103" i="1" s="1"/>
  <c r="H94" i="1" a="1"/>
  <c r="H94" i="1" s="1"/>
  <c r="H80" i="1" a="1"/>
  <c r="H80" i="1" s="1"/>
  <c r="H125" i="1" a="1"/>
  <c r="H125" i="1" s="1"/>
  <c r="H99" i="1" a="1"/>
  <c r="H99" i="1" s="1"/>
  <c r="H92" i="1" a="1"/>
  <c r="H92" i="1" s="1"/>
  <c r="H79" i="1" a="1"/>
  <c r="H79" i="1" s="1"/>
  <c r="H127" i="1" a="1"/>
  <c r="H127" i="1" s="1"/>
  <c r="H106" i="1" a="1"/>
  <c r="H106" i="1" s="1"/>
  <c r="H86" i="1" a="1"/>
  <c r="H86" i="1" s="1"/>
  <c r="H54" i="1" a="1"/>
  <c r="H54" i="1" s="1"/>
  <c r="H133" i="1" a="1"/>
  <c r="H133" i="1" s="1"/>
  <c r="H107" i="1" a="1"/>
  <c r="H107" i="1" s="1"/>
  <c r="H96" i="1" a="1"/>
  <c r="H96" i="1" s="1"/>
  <c r="H81" i="1" a="1"/>
  <c r="H81" i="1" s="1"/>
  <c r="H119" i="1" a="1"/>
  <c r="H119" i="1" s="1"/>
  <c r="H102" i="1" a="1"/>
  <c r="H102" i="1" s="1"/>
  <c r="H84" i="1" a="1"/>
  <c r="H84" i="1" s="1"/>
  <c r="H52" i="1" a="1"/>
  <c r="H52" i="1" s="1"/>
  <c r="H116" i="1" a="1"/>
  <c r="H116" i="1" s="1"/>
  <c r="H59" i="1" a="1"/>
  <c r="H59" i="1" s="1"/>
  <c r="H130" i="1" a="1"/>
  <c r="H130" i="1" s="1"/>
  <c r="H66" i="1" a="1"/>
  <c r="H66" i="1" s="1"/>
  <c r="H111" i="1" a="1"/>
  <c r="H111" i="1" s="1"/>
  <c r="H82" i="1" a="1"/>
  <c r="H82" i="1" s="1"/>
  <c r="H117" i="1" a="1"/>
  <c r="H117" i="1" s="1"/>
  <c r="H91" i="1" a="1"/>
  <c r="H91" i="1" s="1"/>
  <c r="H88" i="1" a="1"/>
  <c r="H88" i="1" s="1"/>
  <c r="H77" i="1" a="1"/>
  <c r="H77" i="1" s="1"/>
  <c r="H135" i="1" a="1"/>
  <c r="H135" i="1" s="1"/>
  <c r="H110" i="1" a="1"/>
  <c r="H110" i="1" s="1"/>
  <c r="H56" i="1" a="1"/>
  <c r="H56" i="1" s="1"/>
  <c r="H131" i="1" a="1"/>
  <c r="H131" i="1" s="1"/>
  <c r="H108" i="1" a="1"/>
  <c r="H108" i="1" s="1"/>
  <c r="H87" i="1" a="1"/>
  <c r="H87" i="1" s="1"/>
  <c r="H55" i="1" a="1"/>
  <c r="H55" i="1" s="1"/>
  <c r="H122" i="1" a="1"/>
  <c r="H122" i="1" s="1"/>
  <c r="H62" i="1" a="1"/>
  <c r="H62" i="1" s="1"/>
  <c r="H139" i="1" a="1"/>
  <c r="H139" i="1" s="1"/>
  <c r="H112" i="1" a="1"/>
  <c r="H112" i="1" s="1"/>
  <c r="H57" i="1" a="1"/>
  <c r="H57" i="1" s="1"/>
  <c r="H118" i="1" a="1"/>
  <c r="H118" i="1" s="1"/>
  <c r="H60" i="1" a="1"/>
  <c r="H60" i="1" s="1"/>
  <c r="H132" i="1" a="1"/>
  <c r="H132" i="1" s="1"/>
  <c r="H67" i="1" a="1"/>
  <c r="H67" i="1" s="1"/>
  <c r="H105" i="1" a="1"/>
  <c r="H105" i="1" s="1"/>
  <c r="H74" i="1" a="1"/>
  <c r="H74" i="1" s="1"/>
  <c r="H123" i="1" a="1"/>
  <c r="H123" i="1" s="1"/>
  <c r="H104" i="1" a="1"/>
  <c r="H104" i="1" s="1"/>
  <c r="H85" i="1" a="1"/>
  <c r="H85" i="1" s="1"/>
  <c r="H53" i="1" a="1"/>
  <c r="H53" i="1" s="1"/>
  <c r="H126" i="1" a="1"/>
  <c r="H126" i="1" s="1"/>
  <c r="H64" i="1" a="1"/>
  <c r="H64" i="1" s="1"/>
  <c r="H124" i="1" a="1"/>
  <c r="H124" i="1" s="1"/>
  <c r="H63" i="1" a="1"/>
  <c r="H63" i="1" s="1"/>
  <c r="H89" i="1" a="1"/>
  <c r="H89" i="1" s="1"/>
  <c r="H138" i="1" a="1"/>
  <c r="H138" i="1" s="1"/>
  <c r="H70" i="1" a="1"/>
  <c r="H70" i="1" s="1"/>
  <c r="H128" i="1" a="1"/>
  <c r="H128" i="1" s="1"/>
  <c r="H65" i="1" a="1"/>
  <c r="H65" i="1" s="1"/>
  <c r="H134" i="1" a="1"/>
  <c r="H134" i="1" s="1"/>
  <c r="H68" i="1" a="1"/>
  <c r="H68" i="1" s="1"/>
  <c r="H109" i="1" a="1"/>
  <c r="H109" i="1" s="1"/>
  <c r="H75" i="1" a="1"/>
  <c r="H75" i="1" s="1"/>
  <c r="H137" i="1" a="1"/>
  <c r="H137" i="1" s="1"/>
  <c r="H98" i="1" a="1"/>
  <c r="H98" i="1" s="1"/>
  <c r="H50" i="1" a="1"/>
  <c r="H50" i="1" s="1"/>
  <c r="I50" i="1" s="1"/>
  <c r="H1098" i="1" a="1"/>
  <c r="H1098" i="1" s="1"/>
  <c r="H730" i="1" a="1"/>
  <c r="H730" i="1" s="1"/>
  <c r="H1116" i="1" a="1"/>
  <c r="H1116" i="1" s="1"/>
  <c r="H698" i="1" a="1"/>
  <c r="H698" i="1" s="1"/>
  <c r="H1222" i="1" a="1"/>
  <c r="H1222" i="1" s="1"/>
  <c r="H744" i="1" a="1"/>
  <c r="H744" i="1" s="1"/>
  <c r="H718" i="1" a="1"/>
  <c r="H718" i="1" s="1"/>
  <c r="H1248" i="1" a="1"/>
  <c r="H1248" i="1" s="1"/>
  <c r="H699" i="1" a="1"/>
  <c r="H699" i="1" s="1"/>
  <c r="H1069" i="1" a="1"/>
  <c r="H1069" i="1" s="1"/>
  <c r="H392" i="1" a="1"/>
  <c r="H392" i="1" s="1"/>
  <c r="H403" i="1" a="1"/>
  <c r="H403" i="1" s="1"/>
  <c r="H1102" i="1" a="1"/>
  <c r="H1102" i="1" s="1"/>
  <c r="H1090" i="1" a="1"/>
  <c r="H1090" i="1" s="1"/>
  <c r="H1209" i="1" a="1"/>
  <c r="H1209" i="1" s="1"/>
  <c r="H511" i="1" a="1"/>
  <c r="H511" i="1" s="1"/>
  <c r="H742" i="1" a="1"/>
  <c r="H742" i="1" s="1"/>
  <c r="H397" i="1" a="1"/>
  <c r="H397" i="1" s="1"/>
  <c r="H1049" i="1" a="1"/>
  <c r="H1049" i="1" s="1"/>
  <c r="H386" i="1" a="1"/>
  <c r="H386" i="1" s="1"/>
  <c r="H740" i="1" a="1"/>
  <c r="H740" i="1" s="1"/>
  <c r="H746" i="1" a="1"/>
  <c r="H746" i="1" s="1"/>
  <c r="H1249" i="1" a="1"/>
  <c r="H1249" i="1" s="1"/>
  <c r="H1060" i="1" a="1"/>
  <c r="H1060" i="1" s="1"/>
  <c r="H721" i="1" a="1"/>
  <c r="H721" i="1" s="1"/>
  <c r="H745" i="1" a="1"/>
  <c r="H745" i="1" s="1"/>
  <c r="H398" i="1" a="1"/>
  <c r="H398" i="1" s="1"/>
  <c r="H1250" i="1" a="1"/>
  <c r="H1250" i="1" s="1"/>
  <c r="H1066" i="1" a="1"/>
  <c r="H1066" i="1" s="1"/>
  <c r="H1052" i="1" a="1"/>
  <c r="H1052" i="1" s="1"/>
  <c r="H405" i="1" a="1"/>
  <c r="H405" i="1" s="1"/>
  <c r="H1057" i="1" a="1"/>
  <c r="H1057" i="1" s="1"/>
  <c r="H624" i="1" a="1"/>
  <c r="H624" i="1" s="1"/>
  <c r="H402" i="1" a="1"/>
  <c r="H402" i="1" s="1"/>
  <c r="H1063" i="1" a="1"/>
  <c r="H1063" i="1" s="1"/>
  <c r="H144" i="1" a="1"/>
  <c r="H144" i="1" s="1"/>
  <c r="H1050" i="1" a="1"/>
  <c r="H1050" i="1" s="1"/>
  <c r="H1247" i="1" a="1"/>
  <c r="H1247" i="1" s="1"/>
  <c r="H1081" i="1" a="1"/>
  <c r="H1081" i="1" s="1"/>
  <c r="H623" i="1" a="1"/>
  <c r="H623" i="1" s="1"/>
  <c r="H725" i="1" a="1"/>
  <c r="H725" i="1" s="1"/>
  <c r="H401" i="1" a="1"/>
  <c r="H401" i="1" s="1"/>
  <c r="H1107" i="1" a="1"/>
  <c r="H1107" i="1" s="1"/>
  <c r="H1061" i="1" a="1"/>
  <c r="H1061" i="1" s="1"/>
  <c r="H591" i="1" a="1"/>
  <c r="H591" i="1" s="1"/>
  <c r="H1253" i="1" a="1"/>
  <c r="H1253" i="1" s="1"/>
  <c r="H724" i="1" a="1"/>
  <c r="H724" i="1" s="1"/>
  <c r="H1106" i="1" a="1"/>
  <c r="H1106" i="1" s="1"/>
  <c r="H1223" i="1" a="1"/>
  <c r="H1223" i="1" s="1"/>
  <c r="H385" i="1" a="1"/>
  <c r="H385" i="1" s="1"/>
  <c r="H1046" i="1" a="1"/>
  <c r="H1046" i="1" s="1"/>
  <c r="H399" i="1" a="1"/>
  <c r="H399" i="1" s="1"/>
  <c r="H1110" i="1" a="1"/>
  <c r="H1110" i="1" s="1"/>
  <c r="H1232" i="1" a="1"/>
  <c r="H1232" i="1" s="1"/>
  <c r="H1113" i="1" a="1"/>
  <c r="H1113" i="1" s="1"/>
  <c r="H396" i="1" a="1"/>
  <c r="H396" i="1" s="1"/>
  <c r="H1246" i="1" a="1"/>
  <c r="H1246" i="1" s="1"/>
  <c r="H1071" i="1" a="1"/>
  <c r="H1071" i="1" s="1"/>
  <c r="H387" i="1" a="1"/>
  <c r="H387" i="1" s="1"/>
  <c r="H1096" i="1" a="1"/>
  <c r="H1096" i="1" s="1"/>
  <c r="H1168" i="1" a="1"/>
  <c r="H1168" i="1" s="1"/>
  <c r="H1233" i="1" a="1"/>
  <c r="H1233" i="1" s="1"/>
  <c r="H1139" i="1" a="1"/>
  <c r="H1139" i="1" s="1"/>
  <c r="H1226" i="1" a="1"/>
  <c r="H1226" i="1" s="1"/>
  <c r="H570" i="1" a="1"/>
  <c r="H570" i="1" s="1"/>
  <c r="H517" i="1" a="1"/>
  <c r="H517" i="1" s="1"/>
  <c r="H563" i="1" a="1"/>
  <c r="H563" i="1" s="1"/>
  <c r="H500" i="1" a="1"/>
  <c r="H500" i="1" s="1"/>
  <c r="H423" i="1" a="1"/>
  <c r="H423" i="1" s="1"/>
  <c r="H424" i="1" a="1"/>
  <c r="H424" i="1" s="1"/>
  <c r="H850" i="1" a="1"/>
  <c r="H850" i="1" s="1"/>
  <c r="H795" i="1" a="1"/>
  <c r="H795" i="1" s="1"/>
  <c r="H785" i="1" a="1"/>
  <c r="H785" i="1" s="1"/>
  <c r="H547" i="1" a="1"/>
  <c r="H547" i="1" s="1"/>
  <c r="H549" i="1" a="1"/>
  <c r="H549" i="1" s="1"/>
  <c r="H584" i="1" a="1"/>
  <c r="H584" i="1" s="1"/>
  <c r="H440" i="1" a="1"/>
  <c r="H440" i="1" s="1"/>
  <c r="H457" i="1" a="1"/>
  <c r="H457" i="1" s="1"/>
  <c r="H451" i="1" a="1"/>
  <c r="H451" i="1" s="1"/>
  <c r="H858" i="1" a="1"/>
  <c r="H858" i="1" s="1"/>
  <c r="H817" i="1" a="1"/>
  <c r="H817" i="1" s="1"/>
  <c r="H804" i="1" a="1"/>
  <c r="H804" i="1" s="1"/>
  <c r="H1254" i="1" a="1"/>
  <c r="H1254" i="1" s="1"/>
  <c r="H1221" i="1" a="1"/>
  <c r="H1221" i="1" s="1"/>
  <c r="H146" i="1" a="1"/>
  <c r="H146" i="1" s="1"/>
  <c r="H1104" i="1" a="1"/>
  <c r="H1104" i="1" s="1"/>
  <c r="H1217" i="1" a="1"/>
  <c r="H1217" i="1" s="1"/>
  <c r="H1117" i="1" a="1"/>
  <c r="H1117" i="1" s="1"/>
  <c r="H1070" i="1" a="1"/>
  <c r="H1070" i="1" s="1"/>
  <c r="H1074" i="1" a="1"/>
  <c r="H1074" i="1" s="1"/>
  <c r="H1089" i="1" a="1"/>
  <c r="H1089" i="1" s="1"/>
  <c r="H733" i="1" a="1"/>
  <c r="H733" i="1" s="1"/>
  <c r="H1229" i="1" a="1"/>
  <c r="H1229" i="1" s="1"/>
  <c r="H1241" i="1" a="1"/>
  <c r="H1241" i="1" s="1"/>
  <c r="H1084" i="1" a="1"/>
  <c r="H1084" i="1" s="1"/>
  <c r="H1087" i="1" a="1"/>
  <c r="H1087" i="1" s="1"/>
  <c r="H1093" i="1" a="1"/>
  <c r="H1093" i="1" s="1"/>
  <c r="H1078" i="1" a="1"/>
  <c r="H1078" i="1" s="1"/>
  <c r="H458" i="1" a="1"/>
  <c r="H458" i="1" s="1"/>
  <c r="H471" i="1" a="1"/>
  <c r="H471" i="1" s="1"/>
  <c r="H481" i="1" a="1"/>
  <c r="H481" i="1" s="1"/>
  <c r="H830" i="1" a="1"/>
  <c r="H830" i="1" s="1"/>
  <c r="H1149" i="1" a="1"/>
  <c r="H1149" i="1" s="1"/>
  <c r="H1183" i="1" a="1"/>
  <c r="H1183" i="1" s="1"/>
  <c r="H1230" i="1" a="1"/>
  <c r="H1230" i="1" s="1"/>
  <c r="H921" i="1" a="1"/>
  <c r="H921" i="1" s="1"/>
  <c r="H541" i="1" a="1"/>
  <c r="H541" i="1" s="1"/>
  <c r="H533" i="1" a="1"/>
  <c r="H533" i="1" s="1"/>
  <c r="H470" i="1" a="1"/>
  <c r="H470" i="1" s="1"/>
  <c r="H460" i="1" a="1"/>
  <c r="H460" i="1" s="1"/>
  <c r="H485" i="1" a="1"/>
  <c r="H485" i="1" s="1"/>
  <c r="H796" i="1" a="1"/>
  <c r="H796" i="1" s="1"/>
  <c r="H834" i="1" a="1"/>
  <c r="H834" i="1" s="1"/>
  <c r="H798" i="1" a="1"/>
  <c r="H798" i="1" s="1"/>
  <c r="H523" i="1" a="1"/>
  <c r="H523" i="1" s="1"/>
  <c r="H518" i="1" a="1"/>
  <c r="H518" i="1" s="1"/>
  <c r="H542" i="1" a="1"/>
  <c r="H542" i="1" s="1"/>
  <c r="H501" i="1" a="1"/>
  <c r="H501" i="1" s="1"/>
  <c r="H407" i="1" a="1"/>
  <c r="H407" i="1" s="1"/>
  <c r="H417" i="1" a="1"/>
  <c r="H417" i="1" s="1"/>
  <c r="H788" i="1" a="1"/>
  <c r="H788" i="1" s="1"/>
  <c r="H810" i="1" a="1"/>
  <c r="H810" i="1" s="1"/>
  <c r="H812" i="1" a="1"/>
  <c r="H812" i="1" s="1"/>
  <c r="H700" i="1" a="1"/>
  <c r="H700" i="1" s="1"/>
  <c r="H1095" i="1" a="1"/>
  <c r="H1095" i="1" s="1"/>
  <c r="H1244" i="1" a="1"/>
  <c r="H1244" i="1" s="1"/>
  <c r="H737" i="1" a="1"/>
  <c r="H737" i="1" s="1"/>
  <c r="H592" i="1" a="1"/>
  <c r="H592" i="1" s="1"/>
  <c r="H1055" i="1" a="1"/>
  <c r="H1055" i="1" s="1"/>
  <c r="H1212" i="1" a="1"/>
  <c r="H1212" i="1" s="1"/>
  <c r="H1079" i="1" a="1"/>
  <c r="H1079" i="1" s="1"/>
  <c r="H1234" i="1" a="1"/>
  <c r="H1234" i="1" s="1"/>
  <c r="H1092" i="1" a="1"/>
  <c r="H1092" i="1" s="1"/>
  <c r="H769" i="1" a="1"/>
  <c r="H769" i="1" s="1"/>
  <c r="H827" i="1" a="1"/>
  <c r="H827" i="1" s="1"/>
  <c r="H802" i="1" a="1"/>
  <c r="H802" i="1" s="1"/>
  <c r="H522" i="1" a="1"/>
  <c r="H522" i="1" s="1"/>
  <c r="H494" i="1" a="1"/>
  <c r="H494" i="1" s="1"/>
  <c r="H809" i="1" a="1"/>
  <c r="H809" i="1" s="1"/>
  <c r="H920" i="1" a="1"/>
  <c r="H920" i="1" s="1"/>
  <c r="H862" i="1" a="1"/>
  <c r="H862" i="1" s="1"/>
  <c r="H1118" i="1" a="1"/>
  <c r="H1118" i="1" s="1"/>
  <c r="H1252" i="1" a="1"/>
  <c r="H1252" i="1" s="1"/>
  <c r="H145" i="1" a="1"/>
  <c r="H145" i="1" s="1"/>
  <c r="H1242" i="1" a="1"/>
  <c r="H1242" i="1" s="1"/>
  <c r="H1064" i="1" a="1"/>
  <c r="H1064" i="1" s="1"/>
  <c r="H1056" i="1" a="1"/>
  <c r="H1056" i="1" s="1"/>
  <c r="H1148" i="1" a="1"/>
  <c r="H1148" i="1" s="1"/>
  <c r="H1129" i="1" a="1"/>
  <c r="H1129" i="1" s="1"/>
  <c r="H1255" i="1" a="1"/>
  <c r="H1255" i="1" s="1"/>
  <c r="H593" i="1" a="1"/>
  <c r="H593" i="1" s="1"/>
  <c r="H565" i="1" a="1"/>
  <c r="H565" i="1" s="1"/>
  <c r="H575" i="1" a="1"/>
  <c r="H575" i="1" s="1"/>
  <c r="H416" i="1" a="1"/>
  <c r="H416" i="1" s="1"/>
  <c r="H497" i="1" a="1"/>
  <c r="H497" i="1" s="1"/>
  <c r="H427" i="1" a="1"/>
  <c r="H427" i="1" s="1"/>
  <c r="H508" i="1" a="1"/>
  <c r="H508" i="1" s="1"/>
  <c r="H774" i="1" a="1"/>
  <c r="H774" i="1" s="1"/>
  <c r="H775" i="1" a="1"/>
  <c r="H775" i="1" s="1"/>
  <c r="H859" i="1" a="1"/>
  <c r="H859" i="1" s="1"/>
  <c r="H572" i="1" a="1"/>
  <c r="H572" i="1" s="1"/>
  <c r="H532" i="1" a="1"/>
  <c r="H532" i="1" s="1"/>
  <c r="H443" i="1" a="1"/>
  <c r="H443" i="1" s="1"/>
  <c r="H461" i="1" a="1"/>
  <c r="H461" i="1" s="1"/>
  <c r="H474" i="1" a="1"/>
  <c r="H474" i="1" s="1"/>
  <c r="H854" i="1" a="1"/>
  <c r="H854" i="1" s="1"/>
  <c r="H835" i="1" a="1"/>
  <c r="H835" i="1" s="1"/>
  <c r="H845" i="1" a="1"/>
  <c r="H845" i="1" s="1"/>
  <c r="H1075" i="1" a="1"/>
  <c r="H1075" i="1" s="1"/>
  <c r="H1215" i="1" a="1"/>
  <c r="H1215" i="1" s="1"/>
  <c r="H723" i="1" a="1"/>
  <c r="H723" i="1" s="1"/>
  <c r="H1114" i="1" a="1"/>
  <c r="H1114" i="1" s="1"/>
  <c r="H919" i="1" a="1"/>
  <c r="H919" i="1" s="1"/>
  <c r="H1220" i="1" a="1"/>
  <c r="H1220" i="1" s="1"/>
  <c r="H1067" i="1" a="1"/>
  <c r="H1067" i="1" s="1"/>
  <c r="H1058" i="1" a="1"/>
  <c r="H1058" i="1" s="1"/>
  <c r="H1224" i="1" a="1"/>
  <c r="H1224" i="1" s="1"/>
  <c r="H861" i="1" a="1"/>
  <c r="H861" i="1" s="1"/>
  <c r="H728" i="1" a="1"/>
  <c r="H728" i="1" s="1"/>
  <c r="H1101" i="1" a="1"/>
  <c r="H1101" i="1" s="1"/>
  <c r="H505" i="1" a="1"/>
  <c r="H505" i="1" s="1"/>
  <c r="H467" i="1" a="1"/>
  <c r="H467" i="1" s="1"/>
  <c r="H484" i="1" a="1"/>
  <c r="H484" i="1" s="1"/>
  <c r="H434" i="1" a="1"/>
  <c r="H434" i="1" s="1"/>
  <c r="H784" i="1" a="1"/>
  <c r="H784" i="1" s="1"/>
  <c r="H1153" i="1" a="1"/>
  <c r="H1153" i="1" s="1"/>
  <c r="H1150" i="1" a="1"/>
  <c r="H1150" i="1" s="1"/>
  <c r="H1125" i="1" a="1"/>
  <c r="H1125" i="1" s="1"/>
  <c r="H1238" i="1" a="1"/>
  <c r="H1238" i="1" s="1"/>
  <c r="H546" i="1" a="1"/>
  <c r="H546" i="1" s="1"/>
  <c r="H585" i="1" a="1"/>
  <c r="H585" i="1" s="1"/>
  <c r="H580" i="1" a="1"/>
  <c r="H580" i="1" s="1"/>
  <c r="H447" i="1" a="1"/>
  <c r="H447" i="1" s="1"/>
  <c r="H464" i="1" a="1"/>
  <c r="H464" i="1" s="1"/>
  <c r="H478" i="1" a="1"/>
  <c r="H478" i="1" s="1"/>
  <c r="H778" i="1" a="1"/>
  <c r="H778" i="1" s="1"/>
  <c r="H548" i="1" a="1"/>
  <c r="H548" i="1" s="1"/>
  <c r="H441" i="1" a="1"/>
  <c r="H441" i="1" s="1"/>
  <c r="H420" i="1" a="1"/>
  <c r="H420" i="1" s="1"/>
  <c r="H477" i="1" a="1"/>
  <c r="H477" i="1" s="1"/>
  <c r="H832" i="1" a="1"/>
  <c r="H832" i="1" s="1"/>
  <c r="H738" i="1" a="1"/>
  <c r="H738" i="1" s="1"/>
  <c r="H1235" i="1" a="1"/>
  <c r="H1235" i="1" s="1"/>
  <c r="H1072" i="1" a="1"/>
  <c r="H1072" i="1" s="1"/>
  <c r="H1227" i="1" a="1"/>
  <c r="H1227" i="1" s="1"/>
  <c r="H743" i="1" a="1"/>
  <c r="H743" i="1" s="1"/>
  <c r="H1099" i="1" a="1"/>
  <c r="H1099" i="1" s="1"/>
  <c r="H657" i="1" a="1"/>
  <c r="H657" i="1" s="1"/>
  <c r="H825" i="1" a="1"/>
  <c r="H825" i="1" s="1"/>
  <c r="H822" i="1" a="1"/>
  <c r="H822" i="1" s="1"/>
  <c r="H844" i="1" a="1"/>
  <c r="H844" i="1" s="1"/>
  <c r="H476" i="1" a="1"/>
  <c r="H476" i="1" s="1"/>
  <c r="H486" i="1" a="1"/>
  <c r="H486" i="1" s="1"/>
  <c r="H465" i="1" a="1"/>
  <c r="H465" i="1" s="1"/>
  <c r="H455" i="1" a="1"/>
  <c r="H455" i="1" s="1"/>
  <c r="H589" i="1" a="1"/>
  <c r="H589" i="1" s="1"/>
  <c r="H576" i="1" a="1"/>
  <c r="H576" i="1" s="1"/>
  <c r="H782" i="1" a="1"/>
  <c r="H782" i="1" s="1"/>
  <c r="H851" i="1" a="1"/>
  <c r="H851" i="1" s="1"/>
  <c r="H847" i="1" a="1"/>
  <c r="H847" i="1" s="1"/>
  <c r="H483" i="1" a="1"/>
  <c r="H483" i="1" s="1"/>
  <c r="H489" i="1" a="1"/>
  <c r="H489" i="1" s="1"/>
  <c r="H472" i="1" a="1"/>
  <c r="H472" i="1" s="1"/>
  <c r="H573" i="1" a="1"/>
  <c r="H573" i="1" s="1"/>
  <c r="H535" i="1" a="1"/>
  <c r="H535" i="1" s="1"/>
  <c r="H550" i="1" a="1"/>
  <c r="H550" i="1" s="1"/>
  <c r="H1236" i="1" a="1"/>
  <c r="H1236" i="1" s="1"/>
  <c r="H1165" i="1" a="1"/>
  <c r="H1165" i="1" s="1"/>
  <c r="H1187" i="1" a="1"/>
  <c r="H1187" i="1" s="1"/>
  <c r="H1135" i="1" a="1"/>
  <c r="H1135" i="1" s="1"/>
  <c r="H849" i="1" a="1"/>
  <c r="H849" i="1" s="1"/>
  <c r="H412" i="1" a="1"/>
  <c r="H412" i="1" s="1"/>
  <c r="H422" i="1" a="1"/>
  <c r="H422" i="1" s="1"/>
  <c r="H504" i="1" a="1"/>
  <c r="H504" i="1" s="1"/>
  <c r="H816" i="1" a="1"/>
  <c r="H816" i="1" s="1"/>
  <c r="H856" i="1" a="1"/>
  <c r="H856" i="1" s="1"/>
  <c r="H793" i="1" a="1"/>
  <c r="H793" i="1" s="1"/>
  <c r="H446" i="1" a="1"/>
  <c r="H446" i="1" s="1"/>
  <c r="H432" i="1" a="1"/>
  <c r="H432" i="1" s="1"/>
  <c r="H415" i="1" a="1"/>
  <c r="H415" i="1" s="1"/>
  <c r="H516" i="1" a="1"/>
  <c r="H516" i="1" s="1"/>
  <c r="H521" i="1" a="1"/>
  <c r="H521" i="1" s="1"/>
  <c r="H543" i="1" a="1"/>
  <c r="H543" i="1" s="1"/>
  <c r="H818" i="1" a="1"/>
  <c r="H818" i="1" s="1"/>
  <c r="H843" i="1" a="1"/>
  <c r="H843" i="1" s="1"/>
  <c r="H509" i="1" a="1"/>
  <c r="H509" i="1" s="1"/>
  <c r="H452" i="1" a="1"/>
  <c r="H452" i="1" s="1"/>
  <c r="H435" i="1" a="1"/>
  <c r="H435" i="1" s="1"/>
  <c r="H473" i="1" a="1"/>
  <c r="H473" i="1" s="1"/>
  <c r="H586" i="1" a="1"/>
  <c r="H586" i="1" s="1"/>
  <c r="H529" i="1" a="1"/>
  <c r="H529" i="1" s="1"/>
  <c r="H147" i="1" a="1"/>
  <c r="H147" i="1" s="1"/>
  <c r="H1152" i="1" a="1"/>
  <c r="H1152" i="1" s="1"/>
  <c r="H1191" i="1" a="1"/>
  <c r="H1191" i="1" s="1"/>
  <c r="H1167" i="1" a="1"/>
  <c r="H1167" i="1" s="1"/>
  <c r="H783" i="1" a="1"/>
  <c r="H783" i="1" s="1"/>
  <c r="H814" i="1" a="1"/>
  <c r="H814" i="1" s="1"/>
  <c r="H786" i="1" a="1"/>
  <c r="H786" i="1" s="1"/>
  <c r="H495" i="1" a="1"/>
  <c r="H495" i="1" s="1"/>
  <c r="H482" i="1" a="1"/>
  <c r="H482" i="1" s="1"/>
  <c r="H468" i="1" a="1"/>
  <c r="H468" i="1" s="1"/>
  <c r="H569" i="1" a="1"/>
  <c r="H569" i="1" s="1"/>
  <c r="H528" i="1" a="1"/>
  <c r="H528" i="1" s="1"/>
  <c r="H567" i="1" a="1"/>
  <c r="H567" i="1" s="1"/>
  <c r="H776" i="1" a="1"/>
  <c r="H776" i="1" s="1"/>
  <c r="H837" i="1" a="1"/>
  <c r="H837" i="1" s="1"/>
  <c r="H839" i="1" a="1"/>
  <c r="H839" i="1" s="1"/>
  <c r="H506" i="1" a="1"/>
  <c r="H506" i="1" s="1"/>
  <c r="H493" i="1" a="1"/>
  <c r="H493" i="1" s="1"/>
  <c r="H475" i="1" a="1"/>
  <c r="H475" i="1" s="1"/>
  <c r="H577" i="1" a="1"/>
  <c r="H577" i="1" s="1"/>
  <c r="H537" i="1" a="1"/>
  <c r="H537" i="1" s="1"/>
  <c r="H1132" i="1" a="1"/>
  <c r="H1132" i="1" s="1"/>
  <c r="H1163" i="1" a="1"/>
  <c r="H1163" i="1" s="1"/>
  <c r="H1228" i="1" a="1"/>
  <c r="H1228" i="1" s="1"/>
  <c r="H1157" i="1" a="1"/>
  <c r="H1157" i="1" s="1"/>
  <c r="H772" i="1" a="1"/>
  <c r="H772" i="1" s="1"/>
  <c r="H841" i="1" a="1"/>
  <c r="H841" i="1" s="1"/>
  <c r="H431" i="1" a="1"/>
  <c r="H431" i="1" s="1"/>
  <c r="H418" i="1" a="1"/>
  <c r="H418" i="1" s="1"/>
  <c r="H507" i="1" a="1"/>
  <c r="H507" i="1" s="1"/>
  <c r="H820" i="1" a="1"/>
  <c r="H820" i="1" s="1"/>
  <c r="H770" i="1" a="1"/>
  <c r="H770" i="1" s="1"/>
  <c r="H498" i="1" a="1"/>
  <c r="H498" i="1" s="1"/>
  <c r="H453" i="1" a="1"/>
  <c r="H453" i="1" s="1"/>
  <c r="H428" i="1" a="1"/>
  <c r="H428" i="1" s="1"/>
  <c r="H438" i="1" a="1"/>
  <c r="H438" i="1" s="1"/>
  <c r="H544" i="1" a="1"/>
  <c r="H544" i="1" s="1"/>
  <c r="H552" i="1" a="1"/>
  <c r="H552" i="1" s="1"/>
  <c r="H806" i="1" a="1"/>
  <c r="H806" i="1" s="1"/>
  <c r="H787" i="1" a="1"/>
  <c r="H787" i="1" s="1"/>
  <c r="H852" i="1" a="1"/>
  <c r="H852" i="1" s="1"/>
  <c r="H449" i="1" a="1"/>
  <c r="H449" i="1" s="1"/>
  <c r="H439" i="1" a="1"/>
  <c r="H439" i="1" s="1"/>
  <c r="H426" i="1" a="1"/>
  <c r="H426" i="1" s="1"/>
  <c r="H560" i="1" a="1"/>
  <c r="H560" i="1" s="1"/>
  <c r="H582" i="1" a="1"/>
  <c r="H582" i="1" s="1"/>
  <c r="H587" i="1" a="1"/>
  <c r="H587" i="1" s="1"/>
  <c r="H1176" i="1" a="1"/>
  <c r="H1176" i="1" s="1"/>
  <c r="H1194" i="1" a="1"/>
  <c r="H1194" i="1" s="1"/>
  <c r="H1208" i="1" a="1"/>
  <c r="H1208" i="1" s="1"/>
  <c r="H1142" i="1" a="1"/>
  <c r="H1142" i="1" s="1"/>
  <c r="H658" i="1" a="1"/>
  <c r="H658" i="1" s="1"/>
  <c r="H708" i="1" a="1"/>
  <c r="H708" i="1" s="1"/>
  <c r="H736" i="1" a="1"/>
  <c r="H736" i="1" s="1"/>
  <c r="H1161" i="1" a="1"/>
  <c r="H1161" i="1" s="1"/>
  <c r="H1196" i="1" a="1"/>
  <c r="H1196" i="1" s="1"/>
  <c r="H863" i="1" a="1"/>
  <c r="H863" i="1" s="1"/>
  <c r="H1256" i="1" a="1"/>
  <c r="H1256" i="1" s="1"/>
  <c r="H1119" i="1" a="1"/>
  <c r="H1119" i="1" s="1"/>
  <c r="H1126" i="1" a="1"/>
  <c r="H1126" i="1" s="1"/>
  <c r="H1140" i="1" a="1"/>
  <c r="H1140" i="1" s="1"/>
  <c r="H1137" i="1" a="1"/>
  <c r="H1137" i="1" s="1"/>
  <c r="H1159" i="1" a="1"/>
  <c r="H1159" i="1" s="1"/>
  <c r="H625" i="1" a="1"/>
  <c r="H625" i="1" s="1"/>
  <c r="H590" i="1" a="1"/>
  <c r="H590" i="1" s="1"/>
  <c r="H525" i="1" a="1"/>
  <c r="H525" i="1" s="1"/>
  <c r="H436" i="1" a="1"/>
  <c r="H436" i="1" s="1"/>
  <c r="H450" i="1" a="1"/>
  <c r="H450" i="1" s="1"/>
  <c r="H463" i="1" a="1"/>
  <c r="H463" i="1" s="1"/>
  <c r="H800" i="1" a="1"/>
  <c r="H800" i="1" s="1"/>
  <c r="H836" i="1" a="1"/>
  <c r="H836" i="1" s="1"/>
  <c r="H826" i="1" a="1"/>
  <c r="H826" i="1" s="1"/>
  <c r="H564" i="1" a="1"/>
  <c r="H564" i="1" s="1"/>
  <c r="H515" i="1" a="1"/>
  <c r="H515" i="1" s="1"/>
  <c r="H561" i="1" a="1"/>
  <c r="H561" i="1" s="1"/>
  <c r="H803" i="1" a="1"/>
  <c r="H803" i="1" s="1"/>
  <c r="H459" i="1" a="1"/>
  <c r="H459" i="1" s="1"/>
  <c r="H413" i="1" a="1"/>
  <c r="H413" i="1" s="1"/>
  <c r="H838" i="1" a="1"/>
  <c r="H838" i="1" s="1"/>
  <c r="H855" i="1" a="1"/>
  <c r="H855" i="1" s="1"/>
  <c r="H437" i="1" a="1"/>
  <c r="H437" i="1" s="1"/>
  <c r="H487" i="1" a="1"/>
  <c r="H487" i="1" s="1"/>
  <c r="H626" i="1" a="1"/>
  <c r="H626" i="1" s="1"/>
  <c r="H727" i="1" a="1"/>
  <c r="H727" i="1" s="1"/>
  <c r="H734" i="1" a="1"/>
  <c r="H734" i="1" s="1"/>
  <c r="H1136" i="1" a="1"/>
  <c r="H1136" i="1" s="1"/>
  <c r="H1200" i="1" a="1"/>
  <c r="H1200" i="1" s="1"/>
  <c r="H1130" i="1" a="1"/>
  <c r="H1130" i="1" s="1"/>
  <c r="H1123" i="1" a="1"/>
  <c r="H1123" i="1" s="1"/>
  <c r="H1170" i="1" a="1"/>
  <c r="H1170" i="1" s="1"/>
  <c r="H1172" i="1" a="1"/>
  <c r="H1172" i="1" s="1"/>
  <c r="H1124" i="1" a="1"/>
  <c r="H1124" i="1" s="1"/>
  <c r="H1189" i="1" a="1"/>
  <c r="H1189" i="1" s="1"/>
  <c r="H1122" i="1" a="1"/>
  <c r="H1122" i="1" s="1"/>
  <c r="H1198" i="1" a="1"/>
  <c r="H1198" i="1" s="1"/>
  <c r="H545" i="1" a="1"/>
  <c r="H545" i="1" s="1"/>
  <c r="H579" i="1" a="1"/>
  <c r="H579" i="1" s="1"/>
  <c r="H539" i="1" a="1"/>
  <c r="H539" i="1" s="1"/>
  <c r="H469" i="1" a="1"/>
  <c r="H469" i="1" s="1"/>
  <c r="H448" i="1" a="1"/>
  <c r="H448" i="1" s="1"/>
  <c r="H488" i="1" a="1"/>
  <c r="H488" i="1" s="1"/>
  <c r="H833" i="1" a="1"/>
  <c r="H833" i="1" s="1"/>
  <c r="H824" i="1" a="1"/>
  <c r="H824" i="1" s="1"/>
  <c r="H821" i="1" a="1"/>
  <c r="H821" i="1" s="1"/>
  <c r="H568" i="1" a="1"/>
  <c r="H568" i="1" s="1"/>
  <c r="H538" i="1" a="1"/>
  <c r="H538" i="1" s="1"/>
  <c r="H559" i="1" a="1"/>
  <c r="H559" i="1" s="1"/>
  <c r="H1171" i="1" a="1"/>
  <c r="H1171" i="1" s="1"/>
  <c r="H1207" i="1" a="1"/>
  <c r="H1207" i="1" s="1"/>
  <c r="H1195" i="1" a="1"/>
  <c r="H1195" i="1" s="1"/>
  <c r="H747" i="1" a="1"/>
  <c r="H747" i="1" s="1"/>
  <c r="H578" i="1" a="1"/>
  <c r="H578" i="1" s="1"/>
  <c r="H429" i="1" a="1"/>
  <c r="H429" i="1" s="1"/>
  <c r="H794" i="1" a="1"/>
  <c r="H794" i="1" s="1"/>
  <c r="H773" i="1" a="1"/>
  <c r="H773" i="1" s="1"/>
  <c r="H540" i="1" a="1"/>
  <c r="H540" i="1" s="1"/>
  <c r="H716" i="1" a="1"/>
  <c r="H716" i="1" s="1"/>
  <c r="H715" i="1" a="1"/>
  <c r="H715" i="1" s="1"/>
  <c r="H922" i="1" a="1"/>
  <c r="H922" i="1" s="1"/>
  <c r="H1175" i="1" a="1"/>
  <c r="H1175" i="1" s="1"/>
  <c r="H1240" i="1" a="1"/>
  <c r="H1240" i="1" s="1"/>
  <c r="H1133" i="1" a="1"/>
  <c r="H1133" i="1" s="1"/>
  <c r="H1185" i="1" a="1"/>
  <c r="H1185" i="1" s="1"/>
  <c r="H1197" i="1" a="1"/>
  <c r="H1197" i="1" s="1"/>
  <c r="H1169" i="1" a="1"/>
  <c r="H1169" i="1" s="1"/>
  <c r="H1156" i="1" a="1"/>
  <c r="H1156" i="1" s="1"/>
  <c r="H1146" i="1" a="1"/>
  <c r="H1146" i="1" s="1"/>
  <c r="H1131" i="1" a="1"/>
  <c r="H1131" i="1" s="1"/>
  <c r="H1190" i="1" a="1"/>
  <c r="H1190" i="1" s="1"/>
  <c r="H1188" i="1" a="1"/>
  <c r="H1188" i="1" s="1"/>
  <c r="H1160" i="1" a="1"/>
  <c r="H1160" i="1" s="1"/>
  <c r="H557" i="1" a="1"/>
  <c r="H557" i="1" s="1"/>
  <c r="H556" i="1" a="1"/>
  <c r="H556" i="1" s="1"/>
  <c r="H562" i="1" a="1"/>
  <c r="H562" i="1" s="1"/>
  <c r="H490" i="1" a="1"/>
  <c r="H490" i="1" s="1"/>
  <c r="H503" i="1" a="1"/>
  <c r="H503" i="1" s="1"/>
  <c r="H414" i="1" a="1"/>
  <c r="H414" i="1" s="1"/>
  <c r="H791" i="1" a="1"/>
  <c r="H791" i="1" s="1"/>
  <c r="H792" i="1" a="1"/>
  <c r="H792" i="1" s="1"/>
  <c r="H813" i="1" a="1"/>
  <c r="H813" i="1" s="1"/>
  <c r="H551" i="1" a="1"/>
  <c r="H551" i="1" s="1"/>
  <c r="H514" i="1" a="1"/>
  <c r="H514" i="1" s="1"/>
  <c r="H853" i="1" a="1"/>
  <c r="H853" i="1" s="1"/>
  <c r="H846" i="1" a="1"/>
  <c r="H846" i="1" s="1"/>
  <c r="H410" i="1" a="1"/>
  <c r="H410" i="1" s="1"/>
  <c r="H860" i="1" a="1"/>
  <c r="H860" i="1" s="1"/>
  <c r="H799" i="1" a="1"/>
  <c r="H799" i="1" s="1"/>
  <c r="H771" i="1" a="1"/>
  <c r="H771" i="1" s="1"/>
  <c r="H479" i="1" a="1"/>
  <c r="H479" i="1" s="1"/>
  <c r="H777" i="1" a="1"/>
  <c r="H777" i="1" s="1"/>
  <c r="H1179" i="1" a="1"/>
  <c r="H1179" i="1" s="1"/>
  <c r="H709" i="1" a="1"/>
  <c r="H709" i="1" s="1"/>
  <c r="H1128" i="1" a="1"/>
  <c r="H1128" i="1" s="1"/>
  <c r="H1192" i="1" a="1"/>
  <c r="H1192" i="1" s="1"/>
  <c r="H1243" i="1" a="1"/>
  <c r="H1243" i="1" s="1"/>
  <c r="H1199" i="1" a="1"/>
  <c r="H1199" i="1" s="1"/>
  <c r="H1213" i="1" a="1"/>
  <c r="H1213" i="1" s="1"/>
  <c r="H1145" i="1" a="1"/>
  <c r="H1145" i="1" s="1"/>
  <c r="H588" i="1" a="1"/>
  <c r="H588" i="1" s="1"/>
  <c r="H408" i="1" a="1"/>
  <c r="H408" i="1" s="1"/>
  <c r="H419" i="1" a="1"/>
  <c r="H419" i="1" s="1"/>
  <c r="H801" i="1" a="1"/>
  <c r="H801" i="1" s="1"/>
  <c r="H526" i="1" a="1"/>
  <c r="H526" i="1" s="1"/>
  <c r="H665" i="1" a="1"/>
  <c r="H665" i="1" s="1"/>
  <c r="H713" i="1" a="1"/>
  <c r="H713" i="1" s="1"/>
  <c r="H703" i="1" a="1"/>
  <c r="H703" i="1" s="1"/>
  <c r="H719" i="1" a="1"/>
  <c r="H719" i="1" s="1"/>
  <c r="H1127" i="1" a="1"/>
  <c r="H1127" i="1" s="1"/>
  <c r="H1216" i="1" a="1"/>
  <c r="H1216" i="1" s="1"/>
  <c r="H1178" i="1" a="1"/>
  <c r="H1178" i="1" s="1"/>
  <c r="H1231" i="1" a="1"/>
  <c r="H1231" i="1" s="1"/>
  <c r="H1143" i="1" a="1"/>
  <c r="H1143" i="1" s="1"/>
  <c r="H1214" i="1" a="1"/>
  <c r="H1214" i="1" s="1"/>
  <c r="H1186" i="1" a="1"/>
  <c r="H1186" i="1" s="1"/>
  <c r="H1151" i="1" a="1"/>
  <c r="H1151" i="1" s="1"/>
  <c r="H1203" i="1" a="1"/>
  <c r="H1203" i="1" s="1"/>
  <c r="H1120" i="1" a="1"/>
  <c r="H1120" i="1" s="1"/>
  <c r="H1181" i="1" a="1"/>
  <c r="H1181" i="1" s="1"/>
  <c r="H581" i="1" a="1"/>
  <c r="H581" i="1" s="1"/>
  <c r="H574" i="1" a="1"/>
  <c r="H574" i="1" s="1"/>
  <c r="H513" i="1" a="1"/>
  <c r="H513" i="1" s="1"/>
  <c r="H433" i="1" a="1"/>
  <c r="H433" i="1" s="1"/>
  <c r="H454" i="1" a="1"/>
  <c r="H454" i="1" s="1"/>
  <c r="H444" i="1" a="1"/>
  <c r="H444" i="1" s="1"/>
  <c r="H780" i="1" a="1"/>
  <c r="H780" i="1" s="1"/>
  <c r="H828" i="1" a="1"/>
  <c r="H828" i="1" s="1"/>
  <c r="H823" i="1" a="1"/>
  <c r="H823" i="1" s="1"/>
  <c r="H527" i="1" a="1"/>
  <c r="H527" i="1" s="1"/>
  <c r="H519" i="1" a="1"/>
  <c r="H519" i="1" s="1"/>
  <c r="H789" i="1" a="1"/>
  <c r="H789" i="1" s="1"/>
  <c r="H779" i="1" a="1"/>
  <c r="H779" i="1" s="1"/>
  <c r="H456" i="1" a="1"/>
  <c r="H456" i="1" s="1"/>
  <c r="H831" i="1" a="1"/>
  <c r="H831" i="1" s="1"/>
  <c r="H797" i="1" a="1"/>
  <c r="H797" i="1" s="1"/>
  <c r="H480" i="1" a="1"/>
  <c r="H480" i="1" s="1"/>
  <c r="H430" i="1" a="1"/>
  <c r="H430" i="1" s="1"/>
  <c r="H819" i="1" a="1"/>
  <c r="H819" i="1" s="1"/>
  <c r="H735" i="1" a="1"/>
  <c r="H735" i="1" s="1"/>
  <c r="H706" i="1" a="1"/>
  <c r="H706" i="1" s="1"/>
  <c r="H1251" i="1" a="1"/>
  <c r="H1251" i="1" s="1"/>
  <c r="H1155" i="1" a="1"/>
  <c r="H1155" i="1" s="1"/>
  <c r="H1166" i="1" a="1"/>
  <c r="H1166" i="1" s="1"/>
  <c r="H1219" i="1" a="1"/>
  <c r="H1219" i="1" s="1"/>
  <c r="H1182" i="1" a="1"/>
  <c r="H1182" i="1" s="1"/>
  <c r="H1164" i="1" a="1"/>
  <c r="H1164" i="1" s="1"/>
  <c r="H1180" i="1" a="1"/>
  <c r="H1180" i="1" s="1"/>
  <c r="H1173" i="1" a="1"/>
  <c r="H1173" i="1" s="1"/>
  <c r="H1218" i="1" a="1"/>
  <c r="H1218" i="1" s="1"/>
  <c r="H1204" i="1" a="1"/>
  <c r="H1204" i="1" s="1"/>
  <c r="H1201" i="1" a="1"/>
  <c r="H1201" i="1" s="1"/>
  <c r="H530" i="1" a="1"/>
  <c r="H530" i="1" s="1"/>
  <c r="H583" i="1" a="1"/>
  <c r="H583" i="1" s="1"/>
  <c r="H409" i="1" a="1"/>
  <c r="H409" i="1" s="1"/>
  <c r="H462" i="1" a="1"/>
  <c r="H462" i="1" s="1"/>
  <c r="H491" i="1" a="1"/>
  <c r="H491" i="1" s="1"/>
  <c r="H445" i="1" a="1"/>
  <c r="H445" i="1" s="1"/>
  <c r="H807" i="1" a="1"/>
  <c r="H807" i="1" s="1"/>
  <c r="H811" i="1" a="1"/>
  <c r="H811" i="1" s="1"/>
  <c r="H829" i="1" a="1"/>
  <c r="H829" i="1" s="1"/>
  <c r="H531" i="1" a="1"/>
  <c r="H531" i="1" s="1"/>
  <c r="H555" i="1" a="1"/>
  <c r="H555" i="1" s="1"/>
  <c r="H1147" i="1" a="1"/>
  <c r="H1147" i="1" s="1"/>
  <c r="H1174" i="1" a="1"/>
  <c r="H1174" i="1" s="1"/>
  <c r="H1144" i="1" a="1"/>
  <c r="H1144" i="1" s="1"/>
  <c r="H1205" i="1" a="1"/>
  <c r="H1205" i="1" s="1"/>
  <c r="H1202" i="1" a="1"/>
  <c r="H1202" i="1" s="1"/>
  <c r="H554" i="1" a="1"/>
  <c r="H554" i="1" s="1"/>
  <c r="H411" i="1" a="1"/>
  <c r="H411" i="1" s="1"/>
  <c r="H442" i="1" a="1"/>
  <c r="H442" i="1" s="1"/>
  <c r="H815" i="1" a="1"/>
  <c r="H815" i="1" s="1"/>
  <c r="H571" i="1" a="1"/>
  <c r="H571" i="1" s="1"/>
  <c r="H717" i="1" a="1"/>
  <c r="H717" i="1" s="1"/>
  <c r="H739" i="1" a="1"/>
  <c r="H739" i="1" s="1"/>
  <c r="H1206" i="1" a="1"/>
  <c r="H1206" i="1" s="1"/>
  <c r="H1121" i="1" a="1"/>
  <c r="H1121" i="1" s="1"/>
  <c r="H1162" i="1" a="1"/>
  <c r="H1162" i="1" s="1"/>
  <c r="H1239" i="1" a="1"/>
  <c r="H1239" i="1" s="1"/>
  <c r="H1177" i="1" a="1"/>
  <c r="H1177" i="1" s="1"/>
  <c r="H1210" i="1" a="1"/>
  <c r="H1210" i="1" s="1"/>
  <c r="H1138" i="1" a="1"/>
  <c r="H1138" i="1" s="1"/>
  <c r="H1193" i="1" a="1"/>
  <c r="H1193" i="1" s="1"/>
  <c r="H1237" i="1" a="1"/>
  <c r="H1237" i="1" s="1"/>
  <c r="H1141" i="1" a="1"/>
  <c r="H1141" i="1" s="1"/>
  <c r="H534" i="1" a="1"/>
  <c r="H534" i="1" s="1"/>
  <c r="H558" i="1" a="1"/>
  <c r="H558" i="1" s="1"/>
  <c r="H406" i="1" a="1"/>
  <c r="H406" i="1" s="1"/>
  <c r="H499" i="1" a="1"/>
  <c r="H499" i="1" s="1"/>
  <c r="H421" i="1" a="1"/>
  <c r="H421" i="1" s="1"/>
  <c r="H466" i="1" a="1"/>
  <c r="H466" i="1" s="1"/>
  <c r="H848" i="1" a="1"/>
  <c r="H848" i="1" s="1"/>
  <c r="H805" i="1" a="1"/>
  <c r="H805" i="1" s="1"/>
  <c r="H524" i="1" a="1"/>
  <c r="H524" i="1" s="1"/>
  <c r="H512" i="1" a="1"/>
  <c r="H512" i="1" s="1"/>
  <c r="H566" i="1" a="1"/>
  <c r="H566" i="1" s="1"/>
  <c r="H840" i="1" a="1"/>
  <c r="H840" i="1" s="1"/>
  <c r="H496" i="1" a="1"/>
  <c r="H496" i="1" s="1"/>
  <c r="H510" i="1" a="1"/>
  <c r="H510" i="1" s="1"/>
  <c r="H808" i="1" a="1"/>
  <c r="H808" i="1" s="1"/>
  <c r="H842" i="1" a="1"/>
  <c r="H842" i="1" s="1"/>
  <c r="H502" i="1" a="1"/>
  <c r="H502" i="1" s="1"/>
  <c r="H492" i="1" a="1"/>
  <c r="H492" i="1" s="1"/>
  <c r="H781" i="1" a="1"/>
  <c r="H781" i="1" s="1"/>
  <c r="H741" i="1" a="1"/>
  <c r="H741" i="1" s="1"/>
  <c r="H1134" i="1" a="1"/>
  <c r="H1134" i="1" s="1"/>
  <c r="H1211" i="1" a="1"/>
  <c r="H1211" i="1" s="1"/>
  <c r="H1184" i="1" a="1"/>
  <c r="H1184" i="1" s="1"/>
  <c r="H1245" i="1" a="1"/>
  <c r="H1245" i="1" s="1"/>
  <c r="H1158" i="1" a="1"/>
  <c r="H1158" i="1" s="1"/>
  <c r="H553" i="1" a="1"/>
  <c r="H553" i="1" s="1"/>
  <c r="H520" i="1" a="1"/>
  <c r="H520" i="1" s="1"/>
  <c r="H425" i="1" a="1"/>
  <c r="H425" i="1" s="1"/>
  <c r="H790" i="1" a="1"/>
  <c r="H790" i="1" s="1"/>
  <c r="H857" i="1" a="1"/>
  <c r="H857" i="1" s="1"/>
  <c r="H536" i="1" a="1"/>
  <c r="H536" i="1" s="1"/>
  <c r="H677" i="1" a="1"/>
  <c r="H677" i="1" s="1"/>
  <c r="H702" i="1" a="1"/>
  <c r="H702" i="1" s="1"/>
  <c r="H711" i="1" a="1"/>
  <c r="H711" i="1" s="1"/>
  <c r="H748" i="1" a="1"/>
  <c r="H748" i="1" s="1"/>
  <c r="H710" i="1" a="1"/>
  <c r="H710" i="1" s="1"/>
  <c r="H720" i="1" a="1"/>
  <c r="H720" i="1" s="1"/>
  <c r="H1154" i="1" a="1"/>
  <c r="H1154" i="1" s="1"/>
  <c r="H712" i="1" a="1"/>
  <c r="H712" i="1" s="1"/>
  <c r="H731" i="1" a="1"/>
  <c r="H731" i="1" s="1"/>
  <c r="H704" i="1" a="1"/>
  <c r="H704" i="1" s="1"/>
  <c r="H729" i="1" a="1"/>
  <c r="H729" i="1" s="1"/>
  <c r="H722" i="1" a="1"/>
  <c r="H722" i="1" s="1"/>
  <c r="H1225" i="1" a="1"/>
  <c r="H1225" i="1" s="1"/>
  <c r="H707" i="1" a="1"/>
  <c r="H707" i="1" s="1"/>
  <c r="H732" i="1" a="1"/>
  <c r="H732" i="1" s="1"/>
  <c r="H714" i="1" a="1"/>
  <c r="H714" i="1" s="1"/>
  <c r="H705" i="1" a="1"/>
  <c r="H705" i="1" s="1"/>
  <c r="H701" i="1" a="1"/>
  <c r="H701" i="1" s="1"/>
  <c r="H726" i="1" a="1"/>
  <c r="H726" i="1" s="1"/>
  <c r="H1002" i="1" a="1"/>
  <c r="H1002" i="1" s="1"/>
  <c r="H1039" i="1" a="1"/>
  <c r="H1039" i="1" s="1"/>
  <c r="H1019" i="1" a="1"/>
  <c r="H1019" i="1" s="1"/>
  <c r="H935" i="1" a="1"/>
  <c r="H935" i="1" s="1"/>
  <c r="H1073" i="1" a="1"/>
  <c r="H1073" i="1" s="1"/>
  <c r="H615" i="1" a="1"/>
  <c r="H615" i="1" s="1"/>
  <c r="H876" i="1" a="1"/>
  <c r="H876" i="1" s="1"/>
  <c r="H362" i="1" a="1"/>
  <c r="H362" i="1" s="1"/>
  <c r="H290" i="1" a="1"/>
  <c r="H290" i="1" s="1"/>
  <c r="H389" i="1" a="1"/>
  <c r="H389" i="1" s="1"/>
  <c r="H246" i="1" a="1"/>
  <c r="H246" i="1" s="1"/>
  <c r="H597" i="1" a="1"/>
  <c r="H597" i="1" s="1"/>
  <c r="H881" i="1" a="1"/>
  <c r="H881" i="1" s="1"/>
  <c r="H148" i="1" a="1"/>
  <c r="H148" i="1" s="1"/>
  <c r="H340" i="1" a="1"/>
  <c r="H340" i="1" s="1"/>
  <c r="H312" i="1" a="1"/>
  <c r="H312" i="1" s="1"/>
  <c r="H364" i="1" a="1"/>
  <c r="H364" i="1" s="1"/>
  <c r="H201" i="1" a="1"/>
  <c r="H201" i="1" s="1"/>
  <c r="H292" i="1" a="1"/>
  <c r="H292" i="1" s="1"/>
  <c r="H328" i="1" a="1"/>
  <c r="H328" i="1" s="1"/>
  <c r="H196" i="1" a="1"/>
  <c r="H196" i="1" s="1"/>
  <c r="H604" i="1" a="1"/>
  <c r="H604" i="1" s="1"/>
  <c r="H288" i="1" a="1"/>
  <c r="H288" i="1" s="1"/>
  <c r="H344" i="1" a="1"/>
  <c r="H344" i="1" s="1"/>
  <c r="H304" i="1" a="1"/>
  <c r="H304" i="1" s="1"/>
  <c r="H234" i="1" a="1"/>
  <c r="H234" i="1" s="1"/>
  <c r="H766" i="1" a="1"/>
  <c r="H766" i="1" s="1"/>
  <c r="H695" i="1" a="1"/>
  <c r="H695" i="1" s="1"/>
  <c r="H662" i="1" a="1"/>
  <c r="H662" i="1" s="1"/>
  <c r="H1015" i="1" a="1"/>
  <c r="H1015" i="1" s="1"/>
  <c r="H977" i="1" a="1"/>
  <c r="H977" i="1" s="1"/>
  <c r="H991" i="1" a="1"/>
  <c r="H991" i="1" s="1"/>
  <c r="H1024" i="1" a="1"/>
  <c r="H1024" i="1" s="1"/>
  <c r="H987" i="1" a="1"/>
  <c r="H987" i="1" s="1"/>
  <c r="H885" i="1" a="1"/>
  <c r="H885" i="1" s="1"/>
  <c r="H210" i="1" a="1"/>
  <c r="H210" i="1" s="1"/>
  <c r="H165" i="1" a="1"/>
  <c r="H165" i="1" s="1"/>
  <c r="H160" i="1" a="1"/>
  <c r="H160" i="1" s="1"/>
  <c r="H286" i="1" a="1"/>
  <c r="H286" i="1" s="1"/>
  <c r="H595" i="1" a="1"/>
  <c r="H595" i="1" s="1"/>
  <c r="H883" i="1" a="1"/>
  <c r="H883" i="1" s="1"/>
  <c r="H873" i="1" a="1"/>
  <c r="H873" i="1" s="1"/>
  <c r="H171" i="1" a="1"/>
  <c r="H171" i="1" s="1"/>
  <c r="H394" i="1" a="1"/>
  <c r="H394" i="1" s="1"/>
  <c r="H366" i="1" a="1"/>
  <c r="H366" i="1" s="1"/>
  <c r="H359" i="1" a="1"/>
  <c r="H359" i="1" s="1"/>
  <c r="H326" i="1" a="1"/>
  <c r="H326" i="1" s="1"/>
  <c r="H346" i="1" a="1"/>
  <c r="H346" i="1" s="1"/>
  <c r="H250" i="1" a="1"/>
  <c r="H250" i="1" s="1"/>
  <c r="H605" i="1" a="1"/>
  <c r="H605" i="1" s="1"/>
  <c r="H866" i="1" a="1"/>
  <c r="H866" i="1" s="1"/>
  <c r="H272" i="1" a="1"/>
  <c r="H272" i="1" s="1"/>
  <c r="H258" i="1" a="1"/>
  <c r="H258" i="1" s="1"/>
  <c r="H367" i="1" a="1"/>
  <c r="H367" i="1" s="1"/>
  <c r="H621" i="1" a="1"/>
  <c r="H621" i="1" s="1"/>
  <c r="H188" i="1" a="1"/>
  <c r="H188" i="1" s="1"/>
  <c r="H255" i="1" a="1"/>
  <c r="H255" i="1" s="1"/>
  <c r="H594" i="1" a="1"/>
  <c r="H594" i="1" s="1"/>
  <c r="H865" i="1" a="1"/>
  <c r="H865" i="1" s="1"/>
  <c r="H182" i="1" a="1"/>
  <c r="H182" i="1" s="1"/>
  <c r="H268" i="1" a="1"/>
  <c r="H268" i="1" s="1"/>
  <c r="H289" i="1" a="1"/>
  <c r="H289" i="1" s="1"/>
  <c r="H867" i="1" a="1"/>
  <c r="H867" i="1" s="1"/>
  <c r="H332" i="1" a="1"/>
  <c r="H332" i="1" s="1"/>
  <c r="H1043" i="1" a="1"/>
  <c r="H1043" i="1" s="1"/>
  <c r="H931" i="1" a="1"/>
  <c r="H931" i="1" s="1"/>
  <c r="H978" i="1" a="1"/>
  <c r="H978" i="1" s="1"/>
  <c r="H1034" i="1" a="1"/>
  <c r="H1034" i="1" s="1"/>
  <c r="H924" i="1" a="1"/>
  <c r="H924" i="1" s="1"/>
  <c r="H882" i="1" a="1"/>
  <c r="H882" i="1" s="1"/>
  <c r="H275" i="1" a="1"/>
  <c r="H275" i="1" s="1"/>
  <c r="H301" i="1" a="1"/>
  <c r="H301" i="1" s="1"/>
  <c r="H388" i="1" a="1"/>
  <c r="H388" i="1" s="1"/>
  <c r="H218" i="1" a="1"/>
  <c r="H218" i="1" s="1"/>
  <c r="H608" i="1" a="1"/>
  <c r="H608" i="1" s="1"/>
  <c r="H907" i="1" a="1"/>
  <c r="H907" i="1" s="1"/>
  <c r="H219" i="1" a="1"/>
  <c r="H219" i="1" s="1"/>
  <c r="H189" i="1" a="1"/>
  <c r="H189" i="1" s="1"/>
  <c r="H216" i="1" a="1"/>
  <c r="H216" i="1" s="1"/>
  <c r="H259" i="1" a="1"/>
  <c r="H259" i="1" s="1"/>
  <c r="H336" i="1" a="1"/>
  <c r="H336" i="1" s="1"/>
  <c r="H248" i="1" a="1"/>
  <c r="H248" i="1" s="1"/>
  <c r="H150" i="1" a="1"/>
  <c r="H150" i="1" s="1"/>
  <c r="H285" i="1" a="1"/>
  <c r="H285" i="1" s="1"/>
  <c r="H900" i="1" a="1"/>
  <c r="H900" i="1" s="1"/>
  <c r="H315" i="1" a="1"/>
  <c r="H315" i="1" s="1"/>
  <c r="H371" i="1" a="1"/>
  <c r="H371" i="1" s="1"/>
  <c r="H241" i="1" a="1"/>
  <c r="H241" i="1" s="1"/>
  <c r="H316" i="1" a="1"/>
  <c r="H316" i="1" s="1"/>
  <c r="H760" i="1" a="1"/>
  <c r="H760" i="1" s="1"/>
  <c r="H643" i="1" a="1"/>
  <c r="H643" i="1" s="1"/>
  <c r="H696" i="1" a="1"/>
  <c r="H696" i="1" s="1"/>
  <c r="H965" i="1" a="1"/>
  <c r="H965" i="1" s="1"/>
  <c r="H1080" i="1" a="1"/>
  <c r="H1080" i="1" s="1"/>
  <c r="H1037" i="1" a="1"/>
  <c r="H1037" i="1" s="1"/>
  <c r="H923" i="1" a="1"/>
  <c r="H923" i="1" s="1"/>
  <c r="H620" i="1" a="1"/>
  <c r="H620" i="1" s="1"/>
  <c r="H151" i="1" a="1"/>
  <c r="H151" i="1" s="1"/>
  <c r="H321" i="1" a="1"/>
  <c r="H321" i="1" s="1"/>
  <c r="H869" i="1" a="1"/>
  <c r="H869" i="1" s="1"/>
  <c r="H281" i="1" a="1"/>
  <c r="H281" i="1" s="1"/>
  <c r="H198" i="1" a="1"/>
  <c r="H198" i="1" s="1"/>
  <c r="H175" i="1" a="1"/>
  <c r="H175" i="1" s="1"/>
  <c r="H249" i="1" a="1"/>
  <c r="H249" i="1" s="1"/>
  <c r="H610" i="1" a="1"/>
  <c r="H610" i="1" s="1"/>
  <c r="H192" i="1" a="1"/>
  <c r="H192" i="1" s="1"/>
  <c r="H180" i="1" a="1"/>
  <c r="H180" i="1" s="1"/>
  <c r="H1005" i="1" a="1"/>
  <c r="H1005" i="1" s="1"/>
  <c r="H1030" i="1" a="1"/>
  <c r="H1030" i="1" s="1"/>
  <c r="H1004" i="1" a="1"/>
  <c r="H1004" i="1" s="1"/>
  <c r="H971" i="1" a="1"/>
  <c r="H971" i="1" s="1"/>
  <c r="H984" i="1" a="1"/>
  <c r="H984" i="1" s="1"/>
  <c r="H879" i="1" a="1"/>
  <c r="H879" i="1" s="1"/>
  <c r="H308" i="1" a="1"/>
  <c r="H308" i="1" s="1"/>
  <c r="H257" i="1" a="1"/>
  <c r="H257" i="1" s="1"/>
  <c r="H395" i="1" a="1"/>
  <c r="H395" i="1" s="1"/>
  <c r="H270" i="1" a="1"/>
  <c r="H270" i="1" s="1"/>
  <c r="H613" i="1" a="1"/>
  <c r="H613" i="1" s="1"/>
  <c r="H909" i="1" a="1"/>
  <c r="H909" i="1" s="1"/>
  <c r="H868" i="1" a="1"/>
  <c r="H868" i="1" s="1"/>
  <c r="H347" i="1" a="1"/>
  <c r="H347" i="1" s="1"/>
  <c r="H319" i="1" a="1"/>
  <c r="H319" i="1" s="1"/>
  <c r="H339" i="1" a="1"/>
  <c r="H339" i="1" s="1"/>
  <c r="H215" i="1" a="1"/>
  <c r="H215" i="1" s="1"/>
  <c r="H299" i="1" a="1"/>
  <c r="H299" i="1" s="1"/>
  <c r="H263" i="1" a="1"/>
  <c r="H263" i="1" s="1"/>
  <c r="H244" i="1" a="1"/>
  <c r="H244" i="1" s="1"/>
  <c r="H601" i="1" a="1"/>
  <c r="H601" i="1" s="1"/>
  <c r="H871" i="1" a="1"/>
  <c r="H871" i="1" s="1"/>
  <c r="H298" i="1" a="1"/>
  <c r="H298" i="1" s="1"/>
  <c r="H233" i="1" a="1"/>
  <c r="H233" i="1" s="1"/>
  <c r="H178" i="1" a="1"/>
  <c r="H178" i="1" s="1"/>
  <c r="H758" i="1" a="1"/>
  <c r="H758" i="1" s="1"/>
  <c r="H640" i="1" a="1"/>
  <c r="H640" i="1" s="1"/>
  <c r="H672" i="1" a="1"/>
  <c r="H672" i="1" s="1"/>
  <c r="H1014" i="1" a="1"/>
  <c r="H1014" i="1" s="1"/>
  <c r="H1059" i="1" a="1"/>
  <c r="H1059" i="1" s="1"/>
  <c r="H1033" i="1" a="1"/>
  <c r="H1033" i="1" s="1"/>
  <c r="H1017" i="1" a="1"/>
  <c r="H1017" i="1" s="1"/>
  <c r="H1013" i="1" a="1"/>
  <c r="H1013" i="1" s="1"/>
  <c r="H886" i="1" a="1"/>
  <c r="H886" i="1" s="1"/>
  <c r="H211" i="1" a="1"/>
  <c r="H211" i="1" s="1"/>
  <c r="H157" i="1" a="1"/>
  <c r="H157" i="1" s="1"/>
  <c r="H153" i="1" a="1"/>
  <c r="H153" i="1" s="1"/>
  <c r="H380" i="1" a="1"/>
  <c r="H380" i="1" s="1"/>
  <c r="H602" i="1" a="1"/>
  <c r="H602" i="1" s="1"/>
  <c r="H878" i="1" a="1"/>
  <c r="H878" i="1" s="1"/>
  <c r="H897" i="1" a="1"/>
  <c r="H897" i="1" s="1"/>
  <c r="H191" i="1" a="1"/>
  <c r="H191" i="1" s="1"/>
  <c r="H383" i="1" a="1"/>
  <c r="H383" i="1" s="1"/>
  <c r="H159" i="1" a="1"/>
  <c r="H159" i="1" s="1"/>
  <c r="H279" i="1" a="1"/>
  <c r="H279" i="1" s="1"/>
  <c r="H363" i="1" a="1"/>
  <c r="H363" i="1" s="1"/>
  <c r="H335" i="1" a="1"/>
  <c r="H335" i="1" s="1"/>
  <c r="H225" i="1" a="1"/>
  <c r="H225" i="1" s="1"/>
  <c r="H888" i="1" a="1"/>
  <c r="H888" i="1" s="1"/>
  <c r="H202" i="1" a="1"/>
  <c r="H202" i="1" s="1"/>
  <c r="H203" i="1" a="1"/>
  <c r="H203" i="1" s="1"/>
  <c r="H251" i="1" a="1"/>
  <c r="H251" i="1" s="1"/>
  <c r="H236" i="1" a="1"/>
  <c r="H236" i="1" s="1"/>
  <c r="H914" i="1" a="1"/>
  <c r="H914" i="1" s="1"/>
  <c r="H217" i="1" a="1"/>
  <c r="H217" i="1" s="1"/>
  <c r="H232" i="1" a="1"/>
  <c r="H232" i="1" s="1"/>
  <c r="H896" i="1" a="1"/>
  <c r="H896" i="1" s="1"/>
  <c r="H226" i="1" a="1"/>
  <c r="H226" i="1" s="1"/>
  <c r="H384" i="1" a="1"/>
  <c r="H384" i="1" s="1"/>
  <c r="H199" i="1" a="1"/>
  <c r="H199" i="1" s="1"/>
  <c r="H915" i="1" a="1"/>
  <c r="H915" i="1" s="1"/>
  <c r="H358" i="1" a="1"/>
  <c r="H358" i="1" s="1"/>
  <c r="H1023" i="1" a="1"/>
  <c r="H1023" i="1" s="1"/>
  <c r="H1021" i="1" a="1"/>
  <c r="H1021" i="1" s="1"/>
  <c r="H972" i="1" a="1"/>
  <c r="H972" i="1" s="1"/>
  <c r="H933" i="1" a="1"/>
  <c r="H933" i="1" s="1"/>
  <c r="H1111" i="1" a="1"/>
  <c r="H1111" i="1" s="1"/>
  <c r="H612" i="1" a="1"/>
  <c r="H612" i="1" s="1"/>
  <c r="H903" i="1" a="1"/>
  <c r="H903" i="1" s="1"/>
  <c r="H351" i="1" a="1"/>
  <c r="H351" i="1" s="1"/>
  <c r="H320" i="1" a="1"/>
  <c r="H320" i="1" s="1"/>
  <c r="H314" i="1" a="1"/>
  <c r="H314" i="1" s="1"/>
  <c r="H181" i="1" a="1"/>
  <c r="H181" i="1" s="1"/>
  <c r="H600" i="1" a="1"/>
  <c r="H600" i="1" s="1"/>
  <c r="H889" i="1" a="1"/>
  <c r="H889" i="1" s="1"/>
  <c r="H247" i="1" a="1"/>
  <c r="H247" i="1" s="1"/>
  <c r="H209" i="1" a="1"/>
  <c r="H209" i="1" s="1"/>
  <c r="H254" i="1" a="1"/>
  <c r="H254" i="1" s="1"/>
  <c r="H172" i="1" a="1"/>
  <c r="H172" i="1" s="1"/>
  <c r="H343" i="1" a="1"/>
  <c r="H343" i="1" s="1"/>
  <c r="H276" i="1" a="1"/>
  <c r="H276" i="1" s="1"/>
  <c r="H169" i="1" a="1"/>
  <c r="H169" i="1" s="1"/>
  <c r="H284" i="1" a="1"/>
  <c r="H284" i="1" s="1"/>
  <c r="H611" i="1" a="1"/>
  <c r="H611" i="1" s="1"/>
  <c r="H884" i="1" a="1"/>
  <c r="H884" i="1" s="1"/>
  <c r="H354" i="1" a="1"/>
  <c r="H354" i="1" s="1"/>
  <c r="H370" i="1" a="1"/>
  <c r="H370" i="1" s="1"/>
  <c r="H645" i="1" a="1"/>
  <c r="H645" i="1" s="1"/>
  <c r="H970" i="1" a="1"/>
  <c r="H970" i="1" s="1"/>
  <c r="H168" i="1" a="1"/>
  <c r="H168" i="1" s="1"/>
  <c r="H685" i="1" a="1"/>
  <c r="H685" i="1" s="1"/>
  <c r="H1025" i="1" a="1"/>
  <c r="H1025" i="1" s="1"/>
  <c r="H1105" i="1" a="1"/>
  <c r="H1105" i="1" s="1"/>
  <c r="H1026" i="1" a="1"/>
  <c r="H1026" i="1" s="1"/>
  <c r="H975" i="1" a="1"/>
  <c r="H975" i="1" s="1"/>
  <c r="H1115" i="1" a="1"/>
  <c r="H1115" i="1" s="1"/>
  <c r="H916" i="1" a="1"/>
  <c r="H916" i="1" s="1"/>
  <c r="H374" i="1" a="1"/>
  <c r="H374" i="1" s="1"/>
  <c r="H261" i="1" a="1"/>
  <c r="H261" i="1" s="1"/>
  <c r="H329" i="1" a="1"/>
  <c r="H329" i="1" s="1"/>
  <c r="H229" i="1" a="1"/>
  <c r="H229" i="1" s="1"/>
  <c r="H618" i="1" a="1"/>
  <c r="H618" i="1" s="1"/>
  <c r="H894" i="1" a="1"/>
  <c r="H894" i="1" s="1"/>
  <c r="H870" i="1" a="1"/>
  <c r="H870" i="1" s="1"/>
  <c r="H342" i="1" a="1"/>
  <c r="H342" i="1" s="1"/>
  <c r="H330" i="1" a="1"/>
  <c r="H330" i="1" s="1"/>
  <c r="H302" i="1" a="1"/>
  <c r="H302" i="1" s="1"/>
  <c r="H162" i="1" a="1"/>
  <c r="H162" i="1" s="1"/>
  <c r="H245" i="1" a="1"/>
  <c r="H245" i="1" s="1"/>
  <c r="H282" i="1" a="1"/>
  <c r="H282" i="1" s="1"/>
  <c r="H382" i="1" a="1"/>
  <c r="H382" i="1" s="1"/>
  <c r="H155" i="1" a="1"/>
  <c r="H155" i="1" s="1"/>
  <c r="H906" i="1" a="1"/>
  <c r="H906" i="1" s="1"/>
  <c r="H372" i="1" a="1"/>
  <c r="H372" i="1" s="1"/>
  <c r="H174" i="1" a="1"/>
  <c r="H174" i="1" s="1"/>
  <c r="H274" i="1" a="1"/>
  <c r="H274" i="1" s="1"/>
  <c r="H381" i="1" a="1"/>
  <c r="H381" i="1" s="1"/>
  <c r="H683" i="1" a="1"/>
  <c r="H683" i="1" s="1"/>
  <c r="H635" i="1" a="1"/>
  <c r="H635" i="1" s="1"/>
  <c r="H994" i="1" a="1"/>
  <c r="H994" i="1" s="1"/>
  <c r="H928" i="1" a="1"/>
  <c r="H928" i="1" s="1"/>
  <c r="H1100" i="1" a="1"/>
  <c r="H1100" i="1" s="1"/>
  <c r="H968" i="1" a="1"/>
  <c r="H968" i="1" s="1"/>
  <c r="H945" i="1" a="1"/>
  <c r="H945" i="1" s="1"/>
  <c r="H598" i="1" a="1"/>
  <c r="H598" i="1" s="1"/>
  <c r="H917" i="1" a="1"/>
  <c r="H917" i="1" s="1"/>
  <c r="H231" i="1" a="1"/>
  <c r="H231" i="1" s="1"/>
  <c r="H295" i="1" a="1"/>
  <c r="H295" i="1" s="1"/>
  <c r="H206" i="1" a="1"/>
  <c r="H206" i="1" s="1"/>
  <c r="H306" i="1" a="1"/>
  <c r="H306" i="1" s="1"/>
  <c r="H603" i="1" a="1"/>
  <c r="H603" i="1" s="1"/>
  <c r="H892" i="1" a="1"/>
  <c r="H892" i="1" s="1"/>
  <c r="H352" i="1" a="1"/>
  <c r="H352" i="1" s="1"/>
  <c r="H404" i="1" a="1"/>
  <c r="H404" i="1" s="1"/>
  <c r="H376" i="1" a="1"/>
  <c r="H376" i="1" s="1"/>
  <c r="H195" i="1" a="1"/>
  <c r="H195" i="1" s="1"/>
  <c r="H265" i="1" a="1"/>
  <c r="H265" i="1" s="1"/>
  <c r="H356" i="1" a="1"/>
  <c r="H356" i="1" s="1"/>
  <c r="H264" i="1" a="1"/>
  <c r="H264" i="1" s="1"/>
  <c r="H227" i="1" a="1"/>
  <c r="H227" i="1" s="1"/>
  <c r="H902" i="1" a="1"/>
  <c r="H902" i="1" s="1"/>
  <c r="H200" i="1" a="1"/>
  <c r="H200" i="1" s="1"/>
  <c r="H186" i="1" a="1"/>
  <c r="H186" i="1" s="1"/>
  <c r="H331" i="1" a="1"/>
  <c r="H331" i="1" s="1"/>
  <c r="H214" i="1" a="1"/>
  <c r="H214" i="1" s="1"/>
  <c r="H904" i="1" a="1"/>
  <c r="H904" i="1" s="1"/>
  <c r="H152" i="1" a="1"/>
  <c r="H152" i="1" s="1"/>
  <c r="H291" i="1" a="1"/>
  <c r="H291" i="1" s="1"/>
  <c r="H912" i="1" a="1"/>
  <c r="H912" i="1" s="1"/>
  <c r="H190" i="1" a="1"/>
  <c r="H190" i="1" s="1"/>
  <c r="H333" i="1" a="1"/>
  <c r="H333" i="1" s="1"/>
  <c r="H158" i="1" a="1"/>
  <c r="H158" i="1" s="1"/>
  <c r="H349" i="1" a="1"/>
  <c r="H349" i="1" s="1"/>
  <c r="H238" i="1" a="1"/>
  <c r="H238" i="1" s="1"/>
  <c r="H378" i="1" a="1"/>
  <c r="H378" i="1" s="1"/>
  <c r="H956" i="1" a="1"/>
  <c r="H956" i="1" s="1"/>
  <c r="H1054" i="1" a="1"/>
  <c r="H1054" i="1" s="1"/>
  <c r="H964" i="1" a="1"/>
  <c r="H964" i="1" s="1"/>
  <c r="H963" i="1" a="1"/>
  <c r="H963" i="1" s="1"/>
  <c r="H918" i="1" a="1"/>
  <c r="H918" i="1" s="1"/>
  <c r="H313" i="1" a="1"/>
  <c r="H313" i="1" s="1"/>
  <c r="H337" i="1" a="1"/>
  <c r="H337" i="1" s="1"/>
  <c r="H368" i="1" a="1"/>
  <c r="H368" i="1" s="1"/>
  <c r="H360" i="1" a="1"/>
  <c r="H360" i="1" s="1"/>
  <c r="H616" i="1" a="1"/>
  <c r="H616" i="1" s="1"/>
  <c r="H908" i="1" a="1"/>
  <c r="H908" i="1" s="1"/>
  <c r="H880" i="1" a="1"/>
  <c r="H880" i="1" s="1"/>
  <c r="H223" i="1" a="1"/>
  <c r="H223" i="1" s="1"/>
  <c r="H149" i="1" a="1"/>
  <c r="H149" i="1" s="1"/>
  <c r="H207" i="1" a="1"/>
  <c r="H207" i="1" s="1"/>
  <c r="H230" i="1" a="1"/>
  <c r="H230" i="1" s="1"/>
  <c r="H390" i="1" a="1"/>
  <c r="H390" i="1" s="1"/>
  <c r="H187" i="1" a="1"/>
  <c r="H187" i="1" s="1"/>
  <c r="H239" i="1" a="1"/>
  <c r="H239" i="1" s="1"/>
  <c r="H599" i="1" a="1"/>
  <c r="H599" i="1" s="1"/>
  <c r="H910" i="1" a="1"/>
  <c r="H910" i="1" s="1"/>
  <c r="H287" i="1" a="1"/>
  <c r="H287" i="1" s="1"/>
  <c r="H375" i="1" a="1"/>
  <c r="H375" i="1" s="1"/>
  <c r="H296" i="1" a="1"/>
  <c r="H296" i="1" s="1"/>
  <c r="H756" i="1" a="1"/>
  <c r="H756" i="1" s="1"/>
  <c r="H684" i="1" a="1"/>
  <c r="H684" i="1" s="1"/>
  <c r="H664" i="1" a="1"/>
  <c r="H664" i="1" s="1"/>
  <c r="H1040" i="1" a="1"/>
  <c r="H1040" i="1" s="1"/>
  <c r="H926" i="1" a="1"/>
  <c r="H926" i="1" s="1"/>
  <c r="H1001" i="1" a="1"/>
  <c r="H1001" i="1" s="1"/>
  <c r="H942" i="1" a="1"/>
  <c r="H942" i="1" s="1"/>
  <c r="H1112" i="1" a="1"/>
  <c r="H1112" i="1" s="1"/>
  <c r="H901" i="1" a="1"/>
  <c r="H901" i="1" s="1"/>
  <c r="H173" i="1" a="1"/>
  <c r="H173" i="1" s="1"/>
  <c r="H609" i="1" a="1"/>
  <c r="H609" i="1" s="1"/>
  <c r="H893" i="1" a="1"/>
  <c r="H893" i="1" s="1"/>
  <c r="H273" i="1" a="1"/>
  <c r="H273" i="1" s="1"/>
  <c r="H300" i="1" a="1"/>
  <c r="H300" i="1" s="1"/>
  <c r="H156" i="1" a="1"/>
  <c r="H156" i="1" s="1"/>
  <c r="H348" i="1" a="1"/>
  <c r="H348" i="1" s="1"/>
  <c r="H911" i="1" a="1"/>
  <c r="H911" i="1" s="1"/>
  <c r="H197" i="1" a="1"/>
  <c r="H197" i="1" s="1"/>
  <c r="H235" i="1" a="1"/>
  <c r="H235" i="1" s="1"/>
  <c r="H974" i="1" a="1"/>
  <c r="H974" i="1" s="1"/>
  <c r="H952" i="1" a="1"/>
  <c r="H952" i="1" s="1"/>
  <c r="H982" i="1" a="1"/>
  <c r="H982" i="1" s="1"/>
  <c r="H998" i="1" a="1"/>
  <c r="H998" i="1" s="1"/>
  <c r="H622" i="1" a="1"/>
  <c r="H622" i="1" s="1"/>
  <c r="H260" i="1" a="1"/>
  <c r="H260" i="1" s="1"/>
  <c r="H280" i="1" a="1"/>
  <c r="H280" i="1" s="1"/>
  <c r="H311" i="1" a="1"/>
  <c r="H311" i="1" s="1"/>
  <c r="H303" i="1" a="1"/>
  <c r="H303" i="1" s="1"/>
  <c r="H617" i="1" a="1"/>
  <c r="H617" i="1" s="1"/>
  <c r="H913" i="1" a="1"/>
  <c r="H913" i="1" s="1"/>
  <c r="H899" i="1" a="1"/>
  <c r="H899" i="1" s="1"/>
  <c r="H345" i="1" a="1"/>
  <c r="H345" i="1" s="1"/>
  <c r="H309" i="1" a="1"/>
  <c r="H309" i="1" s="1"/>
  <c r="H305" i="1" a="1"/>
  <c r="H305" i="1" s="1"/>
  <c r="H161" i="1" a="1"/>
  <c r="H161" i="1" s="1"/>
  <c r="H166" i="1" a="1"/>
  <c r="H166" i="1" s="1"/>
  <c r="H293" i="1" a="1"/>
  <c r="H293" i="1" s="1"/>
  <c r="H353" i="1" a="1"/>
  <c r="H353" i="1" s="1"/>
  <c r="H204" i="1" a="1"/>
  <c r="H204" i="1" s="1"/>
  <c r="H872" i="1" a="1"/>
  <c r="H872" i="1" s="1"/>
  <c r="H310" i="1" a="1"/>
  <c r="H310" i="1" s="1"/>
  <c r="H334" i="1" a="1"/>
  <c r="H334" i="1" s="1"/>
  <c r="H256" i="1" a="1"/>
  <c r="H256" i="1" s="1"/>
  <c r="H355" i="1" a="1"/>
  <c r="H355" i="1" s="1"/>
  <c r="H681" i="1" a="1"/>
  <c r="H681" i="1" s="1"/>
  <c r="H669" i="1" a="1"/>
  <c r="H669" i="1" s="1"/>
  <c r="H667" i="1" a="1"/>
  <c r="H667" i="1" s="1"/>
  <c r="H939" i="1" a="1"/>
  <c r="H939" i="1" s="1"/>
  <c r="H1045" i="1" a="1"/>
  <c r="H1045" i="1" s="1"/>
  <c r="H947" i="1" a="1"/>
  <c r="H947" i="1" s="1"/>
  <c r="H1091" i="1" a="1"/>
  <c r="H1091" i="1" s="1"/>
  <c r="H606" i="1" a="1"/>
  <c r="H606" i="1" s="1"/>
  <c r="H228" i="1" a="1"/>
  <c r="H228" i="1" s="1"/>
  <c r="H179" i="1" a="1"/>
  <c r="H179" i="1" s="1"/>
  <c r="H208" i="1" a="1"/>
  <c r="H208" i="1" s="1"/>
  <c r="H164" i="1" a="1"/>
  <c r="H164" i="1" s="1"/>
  <c r="H614" i="1" a="1"/>
  <c r="H614" i="1" s="1"/>
  <c r="H864" i="1" a="1"/>
  <c r="H864" i="1" s="1"/>
  <c r="H895" i="1" a="1"/>
  <c r="H895" i="1" s="1"/>
  <c r="H183" i="1" a="1"/>
  <c r="H183" i="1" s="1"/>
  <c r="H373" i="1" a="1"/>
  <c r="H373" i="1" s="1"/>
  <c r="H369" i="1" a="1"/>
  <c r="H369" i="1" s="1"/>
  <c r="H237" i="1" a="1"/>
  <c r="H237" i="1" s="1"/>
  <c r="H297" i="1" a="1"/>
  <c r="H297" i="1" s="1"/>
  <c r="H357" i="1" a="1"/>
  <c r="H357" i="1" s="1"/>
  <c r="H262" i="1" a="1"/>
  <c r="H262" i="1" s="1"/>
  <c r="H205" i="1" a="1"/>
  <c r="H205" i="1" s="1"/>
  <c r="H877" i="1" a="1"/>
  <c r="H877" i="1" s="1"/>
  <c r="H163" i="1" a="1"/>
  <c r="H163" i="1" s="1"/>
  <c r="H365" i="1" a="1"/>
  <c r="H365" i="1" s="1"/>
  <c r="H325" i="1" a="1"/>
  <c r="H325" i="1" s="1"/>
  <c r="H184" i="1" a="1"/>
  <c r="H184" i="1" s="1"/>
  <c r="H224" i="1" a="1"/>
  <c r="H224" i="1" s="1"/>
  <c r="H194" i="1" a="1"/>
  <c r="H194" i="1" s="1"/>
  <c r="H874" i="1" a="1"/>
  <c r="H874" i="1" s="1"/>
  <c r="H283" i="1" a="1"/>
  <c r="H283" i="1" s="1"/>
  <c r="H271" i="1" a="1"/>
  <c r="H271" i="1" s="1"/>
  <c r="H170" i="1" a="1"/>
  <c r="H170" i="1" s="1"/>
  <c r="H323" i="1" a="1"/>
  <c r="H323" i="1" s="1"/>
  <c r="H220" i="1" a="1"/>
  <c r="H220" i="1" s="1"/>
  <c r="H242" i="1" a="1"/>
  <c r="H242" i="1" s="1"/>
  <c r="H936" i="1" a="1"/>
  <c r="H936" i="1" s="1"/>
  <c r="H954" i="1" a="1"/>
  <c r="H954" i="1" s="1"/>
  <c r="H1008" i="1" a="1"/>
  <c r="H1008" i="1" s="1"/>
  <c r="H1053" i="1" a="1"/>
  <c r="H1053" i="1" s="1"/>
  <c r="H1097" i="1" a="1"/>
  <c r="H1097" i="1" s="1"/>
  <c r="H898" i="1" a="1"/>
  <c r="H898" i="1" s="1"/>
  <c r="H379" i="1" a="1"/>
  <c r="H379" i="1" s="1"/>
  <c r="H307" i="1" a="1"/>
  <c r="H307" i="1" s="1"/>
  <c r="H294" i="1" a="1"/>
  <c r="H294" i="1" s="1"/>
  <c r="H212" i="1" a="1"/>
  <c r="H212" i="1" s="1"/>
  <c r="H607" i="1" a="1"/>
  <c r="H607" i="1" s="1"/>
  <c r="H905" i="1" a="1"/>
  <c r="H905" i="1" s="1"/>
  <c r="H890" i="1" a="1"/>
  <c r="H890" i="1" s="1"/>
  <c r="H213" i="1" a="1"/>
  <c r="H213" i="1" s="1"/>
  <c r="H193" i="1" a="1"/>
  <c r="H193" i="1" s="1"/>
  <c r="H177" i="1" a="1"/>
  <c r="H177" i="1" s="1"/>
  <c r="H322" i="1" a="1"/>
  <c r="H322" i="1" s="1"/>
  <c r="H361" i="1" a="1"/>
  <c r="H361" i="1" s="1"/>
  <c r="H252" i="1" a="1"/>
  <c r="H252" i="1" s="1"/>
  <c r="H222" i="1" a="1"/>
  <c r="H222" i="1" s="1"/>
  <c r="H269" i="1" a="1"/>
  <c r="H269" i="1" s="1"/>
  <c r="H875" i="1" a="1"/>
  <c r="H875" i="1" s="1"/>
  <c r="H377" i="1" a="1"/>
  <c r="H377" i="1" s="1"/>
  <c r="H267" i="1" a="1"/>
  <c r="H267" i="1" s="1"/>
  <c r="H393" i="1" a="1"/>
  <c r="H393" i="1" s="1"/>
  <c r="H350" i="1" a="1"/>
  <c r="H350" i="1" s="1"/>
  <c r="H750" i="1" a="1"/>
  <c r="H750" i="1" s="1"/>
  <c r="H674" i="1" a="1"/>
  <c r="H674" i="1" s="1"/>
  <c r="H671" i="1" a="1"/>
  <c r="H671" i="1" s="1"/>
  <c r="H996" i="1" a="1"/>
  <c r="H996" i="1" s="1"/>
  <c r="H1012" i="1" a="1"/>
  <c r="H1012" i="1" s="1"/>
  <c r="H938" i="1" a="1"/>
  <c r="H938" i="1" s="1"/>
  <c r="H1010" i="1" a="1"/>
  <c r="H1010" i="1" s="1"/>
  <c r="H1022" i="1" a="1"/>
  <c r="H1022" i="1" s="1"/>
  <c r="H167" i="1" a="1"/>
  <c r="H167" i="1" s="1"/>
  <c r="H243" i="1" a="1"/>
  <c r="H243" i="1" s="1"/>
  <c r="H619" i="1" a="1"/>
  <c r="H619" i="1" s="1"/>
  <c r="H391" i="1" a="1"/>
  <c r="H391" i="1" s="1"/>
  <c r="H253" i="1" a="1"/>
  <c r="H253" i="1" s="1"/>
  <c r="H240" i="1" a="1"/>
  <c r="H240" i="1" s="1"/>
  <c r="H221" i="1" a="1"/>
  <c r="H221" i="1" s="1"/>
  <c r="H338" i="1" a="1"/>
  <c r="H338" i="1" s="1"/>
  <c r="H327" i="1" a="1"/>
  <c r="H327" i="1" s="1"/>
  <c r="H266" i="1" a="1"/>
  <c r="H266" i="1" s="1"/>
  <c r="H154" i="1" a="1"/>
  <c r="H154" i="1" s="1"/>
  <c r="H341" i="1" a="1"/>
  <c r="H341" i="1" s="1"/>
  <c r="H278" i="1" a="1"/>
  <c r="H278" i="1" s="1"/>
  <c r="H693" i="1" a="1"/>
  <c r="H693" i="1" s="1"/>
  <c r="H1042" i="1" a="1"/>
  <c r="H1042" i="1" s="1"/>
  <c r="H925" i="1" a="1"/>
  <c r="H925" i="1" s="1"/>
  <c r="H929" i="1" a="1"/>
  <c r="H929" i="1" s="1"/>
  <c r="H1044" i="1" a="1"/>
  <c r="H1044" i="1" s="1"/>
  <c r="H887" i="1" a="1"/>
  <c r="H887" i="1" s="1"/>
  <c r="H185" i="1" a="1"/>
  <c r="H185" i="1" s="1"/>
  <c r="H317" i="1" a="1"/>
  <c r="H317" i="1" s="1"/>
  <c r="H891" i="1" a="1"/>
  <c r="H891" i="1" s="1"/>
  <c r="H277" i="1" a="1"/>
  <c r="H277" i="1" s="1"/>
  <c r="H176" i="1" a="1"/>
  <c r="H176" i="1" s="1"/>
  <c r="I176" i="1" s="1"/>
  <c r="H400" i="1" a="1"/>
  <c r="H400" i="1" s="1"/>
  <c r="H318" i="1" a="1"/>
  <c r="H318" i="1" s="1"/>
  <c r="I318" i="1" s="1"/>
  <c r="H596" i="1" a="1"/>
  <c r="H596" i="1" s="1"/>
  <c r="H324" i="1" a="1"/>
  <c r="H324" i="1" s="1"/>
  <c r="I324" i="1" s="1"/>
  <c r="H1009" i="1" a="1"/>
  <c r="H1009" i="1" s="1"/>
  <c r="H1032" i="1" a="1"/>
  <c r="H1032" i="1" s="1"/>
  <c r="H955" i="1" a="1"/>
  <c r="H955" i="1" s="1"/>
  <c r="H992" i="1" a="1"/>
  <c r="H992" i="1" s="1"/>
  <c r="H983" i="1" a="1"/>
  <c r="H983" i="1" s="1"/>
  <c r="H638" i="1" a="1"/>
  <c r="H638" i="1" s="1"/>
  <c r="H627" i="1" a="1"/>
  <c r="H627" i="1" s="1"/>
  <c r="H1085" i="1" a="1"/>
  <c r="H1085" i="1" s="1"/>
  <c r="H691" i="1" a="1"/>
  <c r="H691" i="1" s="1"/>
  <c r="H752" i="1" a="1"/>
  <c r="H752" i="1" s="1"/>
  <c r="H641" i="1" a="1"/>
  <c r="H641" i="1" s="1"/>
  <c r="H761" i="1" a="1"/>
  <c r="H761" i="1" s="1"/>
  <c r="H1062" i="1" a="1"/>
  <c r="H1062" i="1" s="1"/>
  <c r="H937" i="1" a="1"/>
  <c r="H937" i="1" s="1"/>
  <c r="H666" i="1" a="1"/>
  <c r="H666" i="1" s="1"/>
  <c r="H967" i="1" a="1"/>
  <c r="H967" i="1" s="1"/>
  <c r="H1006" i="1" a="1"/>
  <c r="H1006" i="1" s="1"/>
  <c r="H1065" i="1" a="1"/>
  <c r="H1065" i="1" s="1"/>
  <c r="H957" i="1" a="1"/>
  <c r="H957" i="1" s="1"/>
  <c r="H959" i="1" a="1"/>
  <c r="H959" i="1" s="1"/>
  <c r="H670" i="1" a="1"/>
  <c r="H670" i="1" s="1"/>
  <c r="H690" i="1" a="1"/>
  <c r="H690" i="1" s="1"/>
  <c r="H763" i="1" a="1"/>
  <c r="H763" i="1" s="1"/>
  <c r="H950" i="1" a="1"/>
  <c r="H950" i="1" s="1"/>
  <c r="H675" i="1" a="1"/>
  <c r="H675" i="1" s="1"/>
  <c r="H660" i="1" a="1"/>
  <c r="H660" i="1" s="1"/>
  <c r="H630" i="1" a="1"/>
  <c r="H630" i="1" s="1"/>
  <c r="H1068" i="1" a="1"/>
  <c r="H1068" i="1" s="1"/>
  <c r="H960" i="1" a="1"/>
  <c r="H960" i="1" s="1"/>
  <c r="H927" i="1" a="1"/>
  <c r="H927" i="1" s="1"/>
  <c r="H1094" i="1" a="1"/>
  <c r="H1094" i="1" s="1"/>
  <c r="H647" i="1" a="1"/>
  <c r="H647" i="1" s="1"/>
  <c r="H767" i="1" a="1"/>
  <c r="H767" i="1" s="1"/>
  <c r="H946" i="1" a="1"/>
  <c r="H946" i="1" s="1"/>
  <c r="H951" i="1" a="1"/>
  <c r="H951" i="1" s="1"/>
  <c r="H694" i="1" a="1"/>
  <c r="H694" i="1" s="1"/>
  <c r="H757" i="1" a="1"/>
  <c r="H757" i="1" s="1"/>
  <c r="H934" i="1" a="1"/>
  <c r="H934" i="1" s="1"/>
  <c r="H1011" i="1" a="1"/>
  <c r="H1011" i="1" s="1"/>
  <c r="H1109" i="1" a="1"/>
  <c r="H1109" i="1" s="1"/>
  <c r="H1003" i="1" a="1"/>
  <c r="H1003" i="1" s="1"/>
  <c r="H632" i="1" a="1"/>
  <c r="H632" i="1" s="1"/>
  <c r="H655" i="1" a="1"/>
  <c r="H655" i="1" s="1"/>
  <c r="H659" i="1" a="1"/>
  <c r="H659" i="1" s="1"/>
  <c r="H1082" i="1" a="1"/>
  <c r="H1082" i="1" s="1"/>
  <c r="H656" i="1" a="1"/>
  <c r="H656" i="1" s="1"/>
  <c r="H749" i="1" a="1"/>
  <c r="H749" i="1" s="1"/>
  <c r="H676" i="1" a="1"/>
  <c r="H676" i="1" s="1"/>
  <c r="H753" i="1" a="1"/>
  <c r="H753" i="1" s="1"/>
  <c r="H958" i="1" a="1"/>
  <c r="H958" i="1" s="1"/>
  <c r="H1103" i="1" a="1"/>
  <c r="H1103" i="1" s="1"/>
  <c r="H1083" i="1" a="1"/>
  <c r="H1083" i="1" s="1"/>
  <c r="H650" i="1" a="1"/>
  <c r="H650" i="1" s="1"/>
  <c r="H1108" i="1" a="1"/>
  <c r="H1108" i="1" s="1"/>
  <c r="H993" i="1" a="1"/>
  <c r="H993" i="1" s="1"/>
  <c r="H990" i="1" a="1"/>
  <c r="H990" i="1" s="1"/>
  <c r="H985" i="1" a="1"/>
  <c r="H985" i="1" s="1"/>
  <c r="H652" i="1" a="1"/>
  <c r="H652" i="1" s="1"/>
  <c r="H687" i="1" a="1"/>
  <c r="H687" i="1" s="1"/>
  <c r="H637" i="1" a="1"/>
  <c r="H637" i="1" s="1"/>
  <c r="H981" i="1" a="1"/>
  <c r="H981" i="1" s="1"/>
  <c r="H673" i="1" a="1"/>
  <c r="H673" i="1" s="1"/>
  <c r="H644" i="1" a="1"/>
  <c r="H644" i="1" s="1"/>
  <c r="H680" i="1" a="1"/>
  <c r="H680" i="1" s="1"/>
  <c r="H688" i="1" a="1"/>
  <c r="H688" i="1" s="1"/>
  <c r="H949" i="1" a="1"/>
  <c r="H949" i="1" s="1"/>
  <c r="H953" i="1" a="1"/>
  <c r="H953" i="1" s="1"/>
  <c r="H1016" i="1" a="1"/>
  <c r="H1016" i="1" s="1"/>
  <c r="H686" i="1" a="1"/>
  <c r="H686" i="1" s="1"/>
  <c r="H1007" i="1" a="1"/>
  <c r="H1007" i="1" s="1"/>
  <c r="H661" i="1" a="1"/>
  <c r="H661" i="1" s="1"/>
  <c r="H648" i="1" a="1"/>
  <c r="H648" i="1" s="1"/>
  <c r="H754" i="1" a="1"/>
  <c r="H754" i="1" s="1"/>
  <c r="H1027" i="1" a="1"/>
  <c r="H1027" i="1" s="1"/>
  <c r="H1028" i="1" a="1"/>
  <c r="H1028" i="1" s="1"/>
  <c r="H663" i="1" a="1"/>
  <c r="H663" i="1" s="1"/>
  <c r="H986" i="1" a="1"/>
  <c r="H986" i="1" s="1"/>
  <c r="H1051" i="1" a="1"/>
  <c r="H1051" i="1" s="1"/>
  <c r="H1088" i="1" a="1"/>
  <c r="H1088" i="1" s="1"/>
  <c r="H962" i="1" a="1"/>
  <c r="H962" i="1" s="1"/>
  <c r="H1041" i="1" a="1"/>
  <c r="H1041" i="1" s="1"/>
  <c r="H961" i="1" a="1"/>
  <c r="H961" i="1" s="1"/>
  <c r="H692" i="1" a="1"/>
  <c r="H692" i="1" s="1"/>
  <c r="H639" i="1" a="1"/>
  <c r="H639" i="1" s="1"/>
  <c r="H765" i="1" a="1"/>
  <c r="H765" i="1" s="1"/>
  <c r="H930" i="1" a="1"/>
  <c r="H930" i="1" s="1"/>
  <c r="H633" i="1" a="1"/>
  <c r="H633" i="1" s="1"/>
  <c r="H631" i="1" a="1"/>
  <c r="H631" i="1" s="1"/>
  <c r="H679" i="1" a="1"/>
  <c r="H679" i="1" s="1"/>
  <c r="H1048" i="1" a="1"/>
  <c r="H1048" i="1" s="1"/>
  <c r="H1035" i="1" a="1"/>
  <c r="H1035" i="1" s="1"/>
  <c r="H932" i="1" a="1"/>
  <c r="H932" i="1" s="1"/>
  <c r="H969" i="1" a="1"/>
  <c r="H969" i="1" s="1"/>
  <c r="H989" i="1" a="1"/>
  <c r="H989" i="1" s="1"/>
  <c r="H944" i="1" a="1"/>
  <c r="H944" i="1" s="1"/>
  <c r="H1047" i="1" a="1"/>
  <c r="H1047" i="1" s="1"/>
  <c r="H1029" i="1" a="1"/>
  <c r="H1029" i="1" s="1"/>
  <c r="H628" i="1" a="1"/>
  <c r="H628" i="1" s="1"/>
  <c r="I628" i="1" s="1"/>
  <c r="H646" i="1" a="1"/>
  <c r="H646" i="1" s="1"/>
  <c r="H751" i="1" a="1"/>
  <c r="H751" i="1" s="1"/>
  <c r="H995" i="1" a="1"/>
  <c r="H995" i="1" s="1"/>
  <c r="H651" i="1" a="1"/>
  <c r="H651" i="1" s="1"/>
  <c r="H764" i="1" a="1"/>
  <c r="H764" i="1" s="1"/>
  <c r="H642" i="1" a="1"/>
  <c r="H642" i="1" s="1"/>
  <c r="H755" i="1" a="1"/>
  <c r="H755" i="1" s="1"/>
  <c r="H1018" i="1" a="1"/>
  <c r="H1018" i="1" s="1"/>
  <c r="H997" i="1" a="1"/>
  <c r="H997" i="1" s="1"/>
  <c r="H1036" i="1" a="1"/>
  <c r="H1036" i="1" s="1"/>
  <c r="H976" i="1" a="1"/>
  <c r="H976" i="1" s="1"/>
  <c r="H654" i="1" a="1"/>
  <c r="H654" i="1" s="1"/>
  <c r="H1031" i="1" a="1"/>
  <c r="H1031" i="1" s="1"/>
  <c r="H668" i="1" a="1"/>
  <c r="H668" i="1" s="1"/>
  <c r="H1038" i="1" a="1"/>
  <c r="H1038" i="1" s="1"/>
  <c r="H948" i="1" a="1"/>
  <c r="H948" i="1" s="1"/>
  <c r="H1077" i="1" a="1"/>
  <c r="H1077" i="1" s="1"/>
  <c r="H988" i="1" a="1"/>
  <c r="H988" i="1" s="1"/>
  <c r="H940" i="1" a="1"/>
  <c r="H940" i="1" s="1"/>
  <c r="H966" i="1" a="1"/>
  <c r="H966" i="1" s="1"/>
  <c r="H941" i="1" a="1"/>
  <c r="H941" i="1" s="1"/>
  <c r="H678" i="1" a="1"/>
  <c r="H678" i="1" s="1"/>
  <c r="H653" i="1" a="1"/>
  <c r="H653" i="1" s="1"/>
  <c r="H768" i="1" a="1"/>
  <c r="H768" i="1" s="1"/>
  <c r="H1000" i="1" a="1"/>
  <c r="H1000" i="1" s="1"/>
  <c r="H682" i="1" a="1"/>
  <c r="H682" i="1" s="1"/>
  <c r="H649" i="1" a="1"/>
  <c r="H649" i="1" s="1"/>
  <c r="H689" i="1" a="1"/>
  <c r="H689" i="1" s="1"/>
  <c r="H762" i="1" a="1"/>
  <c r="H762" i="1" s="1"/>
  <c r="H980" i="1" a="1"/>
  <c r="H980" i="1" s="1"/>
  <c r="H973" i="1" a="1"/>
  <c r="H973" i="1" s="1"/>
  <c r="H629" i="1" a="1"/>
  <c r="H629" i="1" s="1"/>
  <c r="I629" i="1" s="1"/>
  <c r="H1086" i="1" a="1"/>
  <c r="H1086" i="1" s="1"/>
  <c r="H999" i="1" a="1"/>
  <c r="H999" i="1" s="1"/>
  <c r="H943" i="1" a="1"/>
  <c r="H943" i="1" s="1"/>
  <c r="H1076" i="1" a="1"/>
  <c r="H1076" i="1" s="1"/>
  <c r="H979" i="1" a="1"/>
  <c r="H979" i="1" s="1"/>
  <c r="H636" i="1" a="1"/>
  <c r="H636" i="1" s="1"/>
  <c r="H697" i="1" a="1"/>
  <c r="H697" i="1" s="1"/>
  <c r="H759" i="1" a="1"/>
  <c r="H759" i="1" s="1"/>
  <c r="H1020" i="1" a="1"/>
  <c r="H1020" i="1" s="1"/>
  <c r="H634" i="1" a="1"/>
  <c r="H634" i="1" s="1"/>
  <c r="I634" i="1" s="1"/>
  <c r="I149" i="1" l="1"/>
  <c r="I154" i="1"/>
  <c r="I148" i="1"/>
  <c r="I147" i="1"/>
  <c r="I145" i="1"/>
  <c r="I144" i="1"/>
  <c r="I759" i="1"/>
  <c r="I1076" i="1"/>
  <c r="I980" i="1"/>
  <c r="I682" i="1"/>
  <c r="I678" i="1"/>
  <c r="I988" i="1"/>
  <c r="I948" i="1"/>
  <c r="I668" i="1"/>
  <c r="I654" i="1"/>
  <c r="I1036" i="1"/>
  <c r="I1018" i="1"/>
  <c r="I642" i="1"/>
  <c r="I651" i="1"/>
  <c r="I751" i="1"/>
  <c r="I1047" i="1"/>
  <c r="I989" i="1"/>
  <c r="I932" i="1"/>
  <c r="I1048" i="1"/>
  <c r="I631" i="1"/>
  <c r="I930" i="1"/>
  <c r="I639" i="1"/>
  <c r="I961" i="1"/>
  <c r="I962" i="1"/>
  <c r="I1051" i="1"/>
  <c r="I663" i="1"/>
  <c r="I1027" i="1"/>
  <c r="I648" i="1"/>
  <c r="I1007" i="1"/>
  <c r="I1016" i="1"/>
  <c r="I949" i="1"/>
  <c r="I680" i="1"/>
  <c r="I673" i="1"/>
  <c r="I637" i="1"/>
  <c r="I652" i="1"/>
  <c r="I990" i="1"/>
  <c r="I1108" i="1"/>
  <c r="I1083" i="1"/>
  <c r="I958" i="1"/>
  <c r="I676" i="1"/>
  <c r="I656" i="1"/>
  <c r="I659" i="1"/>
  <c r="I632" i="1"/>
  <c r="I1109" i="1"/>
  <c r="I934" i="1"/>
  <c r="I694" i="1"/>
  <c r="I946" i="1"/>
  <c r="I647" i="1"/>
  <c r="I927" i="1"/>
  <c r="I1068" i="1"/>
  <c r="I660" i="1"/>
  <c r="I950" i="1"/>
  <c r="I690" i="1"/>
  <c r="I959" i="1"/>
  <c r="I1065" i="1"/>
  <c r="I967" i="1"/>
  <c r="I937" i="1"/>
  <c r="I761" i="1"/>
  <c r="I752" i="1"/>
  <c r="I1085" i="1"/>
  <c r="I638" i="1"/>
  <c r="I992" i="1"/>
  <c r="I1032" i="1"/>
  <c r="I891" i="1"/>
  <c r="I185" i="1"/>
  <c r="I1044" i="1"/>
  <c r="I925" i="1"/>
  <c r="I693" i="1"/>
  <c r="I341" i="1"/>
  <c r="I266" i="1"/>
  <c r="I338" i="1"/>
  <c r="I240" i="1"/>
  <c r="I391" i="1"/>
  <c r="I243" i="1"/>
  <c r="I1022" i="1"/>
  <c r="I938" i="1"/>
  <c r="I996" i="1"/>
  <c r="I674" i="1"/>
  <c r="I350" i="1"/>
  <c r="I267" i="1"/>
  <c r="I875" i="1"/>
  <c r="I222" i="1"/>
  <c r="I361" i="1"/>
  <c r="I177" i="1"/>
  <c r="I213" i="1"/>
  <c r="I905" i="1"/>
  <c r="I212" i="1"/>
  <c r="I307" i="1"/>
  <c r="I898" i="1"/>
  <c r="I1053" i="1"/>
  <c r="I954" i="1"/>
  <c r="I242" i="1"/>
  <c r="I323" i="1"/>
  <c r="I271" i="1"/>
  <c r="I874" i="1"/>
  <c r="I224" i="1"/>
  <c r="I325" i="1"/>
  <c r="I163" i="1"/>
  <c r="I205" i="1"/>
  <c r="I357" i="1"/>
  <c r="I237" i="1"/>
  <c r="I373" i="1"/>
  <c r="I895" i="1"/>
  <c r="I614" i="1"/>
  <c r="I208" i="1"/>
  <c r="I228" i="1"/>
  <c r="I1091" i="1"/>
  <c r="I1045" i="1"/>
  <c r="I667" i="1"/>
  <c r="I681" i="1"/>
  <c r="I256" i="1"/>
  <c r="I310" i="1"/>
  <c r="I204" i="1"/>
  <c r="I293" i="1"/>
  <c r="I161" i="1"/>
  <c r="I309" i="1"/>
  <c r="I899" i="1"/>
  <c r="I617" i="1"/>
  <c r="I311" i="1"/>
  <c r="I260" i="1"/>
  <c r="I998" i="1"/>
  <c r="I952" i="1"/>
  <c r="I235" i="1"/>
  <c r="I911" i="1"/>
  <c r="I156" i="1"/>
  <c r="I273" i="1"/>
  <c r="I609" i="1"/>
  <c r="I901" i="1"/>
  <c r="I942" i="1"/>
  <c r="I926" i="1"/>
  <c r="I664" i="1"/>
  <c r="I756" i="1"/>
  <c r="I375" i="1"/>
  <c r="I910" i="1"/>
  <c r="I239" i="1"/>
  <c r="I390" i="1"/>
  <c r="I207" i="1"/>
  <c r="I223" i="1"/>
  <c r="I908" i="1"/>
  <c r="I360" i="1"/>
  <c r="I337" i="1"/>
  <c r="I918" i="1"/>
  <c r="I964" i="1"/>
  <c r="I956" i="1"/>
  <c r="I238" i="1"/>
  <c r="I158" i="1"/>
  <c r="I190" i="1"/>
  <c r="I291" i="1"/>
  <c r="I904" i="1"/>
  <c r="I331" i="1"/>
  <c r="I200" i="1"/>
  <c r="I227" i="1"/>
  <c r="I356" i="1"/>
  <c r="I195" i="1"/>
  <c r="I404" i="1"/>
  <c r="I892" i="1"/>
  <c r="I306" i="1"/>
  <c r="I295" i="1"/>
  <c r="I917" i="1"/>
  <c r="I945" i="1"/>
  <c r="I1100" i="1"/>
  <c r="I994" i="1"/>
  <c r="I683" i="1"/>
  <c r="I274" i="1"/>
  <c r="I372" i="1"/>
  <c r="I155" i="1"/>
  <c r="I282" i="1"/>
  <c r="I162" i="1"/>
  <c r="I330" i="1"/>
  <c r="I870" i="1"/>
  <c r="I618" i="1"/>
  <c r="I329" i="1"/>
  <c r="I374" i="1"/>
  <c r="I1115" i="1"/>
  <c r="I1026" i="1"/>
  <c r="I1025" i="1"/>
  <c r="I168" i="1"/>
  <c r="I645" i="1"/>
  <c r="I354" i="1"/>
  <c r="I611" i="1"/>
  <c r="I169" i="1"/>
  <c r="I343" i="1"/>
  <c r="I254" i="1"/>
  <c r="I247" i="1"/>
  <c r="I600" i="1"/>
  <c r="I314" i="1"/>
  <c r="I351" i="1"/>
  <c r="I612" i="1"/>
  <c r="I933" i="1"/>
  <c r="I1021" i="1"/>
  <c r="I358" i="1"/>
  <c r="I199" i="1"/>
  <c r="I226" i="1"/>
  <c r="I232" i="1"/>
  <c r="I914" i="1"/>
  <c r="I251" i="1"/>
  <c r="I202" i="1"/>
  <c r="I225" i="1"/>
  <c r="I363" i="1"/>
  <c r="I159" i="1"/>
  <c r="I191" i="1"/>
  <c r="I878" i="1"/>
  <c r="I380" i="1"/>
  <c r="I157" i="1"/>
  <c r="I886" i="1"/>
  <c r="I1017" i="1"/>
  <c r="I1059" i="1"/>
  <c r="I672" i="1"/>
  <c r="I758" i="1"/>
  <c r="I233" i="1"/>
  <c r="I871" i="1"/>
  <c r="I244" i="1"/>
  <c r="I299" i="1"/>
  <c r="I339" i="1"/>
  <c r="I347" i="1"/>
  <c r="I909" i="1"/>
  <c r="I270" i="1"/>
  <c r="I257" i="1"/>
  <c r="I879" i="1"/>
  <c r="I971" i="1"/>
  <c r="I1030" i="1"/>
  <c r="I180" i="1"/>
  <c r="I610" i="1"/>
  <c r="I175" i="1"/>
  <c r="I281" i="1"/>
  <c r="I321" i="1"/>
  <c r="I620" i="1"/>
  <c r="I1037" i="1"/>
  <c r="I965" i="1"/>
  <c r="I643" i="1"/>
  <c r="I316" i="1"/>
  <c r="I371" i="1"/>
  <c r="I900" i="1"/>
  <c r="I150" i="1"/>
  <c r="I336" i="1"/>
  <c r="I216" i="1"/>
  <c r="I219" i="1"/>
  <c r="I608" i="1"/>
  <c r="I388" i="1"/>
  <c r="I275" i="1"/>
  <c r="I924" i="1"/>
  <c r="I978" i="1"/>
  <c r="I1043" i="1"/>
  <c r="I867" i="1"/>
  <c r="I268" i="1"/>
  <c r="I865" i="1"/>
  <c r="I255" i="1"/>
  <c r="I621" i="1"/>
  <c r="I258" i="1"/>
  <c r="I866" i="1"/>
  <c r="I250" i="1"/>
  <c r="I326" i="1"/>
  <c r="I366" i="1"/>
  <c r="I171" i="1"/>
  <c r="I883" i="1"/>
  <c r="I286" i="1"/>
  <c r="I165" i="1"/>
  <c r="I885" i="1"/>
  <c r="I1024" i="1"/>
  <c r="I977" i="1"/>
  <c r="I662" i="1"/>
  <c r="I766" i="1"/>
  <c r="I304" i="1"/>
  <c r="I288" i="1"/>
  <c r="I636" i="1"/>
  <c r="I999" i="1"/>
  <c r="I689" i="1"/>
  <c r="I768" i="1"/>
  <c r="I966" i="1"/>
  <c r="I1020" i="1"/>
  <c r="I697" i="1"/>
  <c r="I979" i="1"/>
  <c r="I943" i="1"/>
  <c r="I1086" i="1"/>
  <c r="I973" i="1"/>
  <c r="I762" i="1"/>
  <c r="I649" i="1"/>
  <c r="I1000" i="1"/>
  <c r="I653" i="1"/>
  <c r="I941" i="1"/>
  <c r="I940" i="1"/>
  <c r="I1077" i="1"/>
  <c r="I1038" i="1"/>
  <c r="I1031" i="1"/>
  <c r="I976" i="1"/>
  <c r="I997" i="1"/>
  <c r="I755" i="1"/>
  <c r="I764" i="1"/>
  <c r="I995" i="1"/>
  <c r="I646" i="1"/>
  <c r="I1029" i="1"/>
  <c r="I944" i="1"/>
  <c r="I969" i="1"/>
  <c r="I1035" i="1"/>
  <c r="I679" i="1"/>
  <c r="I633" i="1"/>
  <c r="I765" i="1"/>
  <c r="I692" i="1"/>
  <c r="I1041" i="1"/>
  <c r="I1088" i="1"/>
  <c r="I986" i="1"/>
  <c r="I1028" i="1"/>
  <c r="I754" i="1"/>
  <c r="I661" i="1"/>
  <c r="I686" i="1"/>
  <c r="I953" i="1"/>
  <c r="I688" i="1"/>
  <c r="I644" i="1"/>
  <c r="I981" i="1"/>
  <c r="I687" i="1"/>
  <c r="I985" i="1"/>
  <c r="I993" i="1"/>
  <c r="I650" i="1"/>
  <c r="I1103" i="1"/>
  <c r="I753" i="1"/>
  <c r="I749" i="1"/>
  <c r="I1082" i="1"/>
  <c r="I655" i="1"/>
  <c r="I1003" i="1"/>
  <c r="I1011" i="1"/>
  <c r="I757" i="1"/>
  <c r="I951" i="1"/>
  <c r="I767" i="1"/>
  <c r="I1094" i="1"/>
  <c r="I960" i="1"/>
  <c r="I630" i="1"/>
  <c r="I675" i="1"/>
  <c r="I763" i="1"/>
  <c r="I670" i="1"/>
  <c r="I957" i="1"/>
  <c r="I1006" i="1"/>
  <c r="I666" i="1"/>
  <c r="I1062" i="1"/>
  <c r="I641" i="1"/>
  <c r="I691" i="1"/>
  <c r="I627" i="1"/>
  <c r="I983" i="1"/>
  <c r="I955" i="1"/>
  <c r="I1009" i="1"/>
  <c r="I596" i="1"/>
  <c r="I400" i="1"/>
  <c r="I277" i="1"/>
  <c r="I317" i="1"/>
  <c r="I887" i="1"/>
  <c r="I929" i="1"/>
  <c r="I1042" i="1"/>
  <c r="I278" i="1"/>
  <c r="I327" i="1"/>
  <c r="I221" i="1"/>
  <c r="I253" i="1"/>
  <c r="I619" i="1"/>
  <c r="I167" i="1"/>
  <c r="I1010" i="1"/>
  <c r="I1012" i="1"/>
  <c r="I671" i="1"/>
  <c r="I750" i="1"/>
  <c r="I393" i="1"/>
  <c r="I377" i="1"/>
  <c r="I269" i="1"/>
  <c r="I252" i="1"/>
  <c r="I322" i="1"/>
  <c r="I193" i="1"/>
  <c r="I890" i="1"/>
  <c r="I607" i="1"/>
  <c r="I294" i="1"/>
  <c r="I379" i="1"/>
  <c r="I1097" i="1"/>
  <c r="I1008" i="1"/>
  <c r="I936" i="1"/>
  <c r="I220" i="1"/>
  <c r="I170" i="1"/>
  <c r="I283" i="1"/>
  <c r="I194" i="1"/>
  <c r="I184" i="1"/>
  <c r="I365" i="1"/>
  <c r="I877" i="1"/>
  <c r="I262" i="1"/>
  <c r="I297" i="1"/>
  <c r="I369" i="1"/>
  <c r="I183" i="1"/>
  <c r="I864" i="1"/>
  <c r="I164" i="1"/>
  <c r="I179" i="1"/>
  <c r="I606" i="1"/>
  <c r="I947" i="1"/>
  <c r="I939" i="1"/>
  <c r="I669" i="1"/>
  <c r="I355" i="1"/>
  <c r="I334" i="1"/>
  <c r="I872" i="1"/>
  <c r="I353" i="1"/>
  <c r="I166" i="1"/>
  <c r="I305" i="1"/>
  <c r="I345" i="1"/>
  <c r="I913" i="1"/>
  <c r="I303" i="1"/>
  <c r="I280" i="1"/>
  <c r="I622" i="1"/>
  <c r="I982" i="1"/>
  <c r="I974" i="1"/>
  <c r="I197" i="1"/>
  <c r="I348" i="1"/>
  <c r="I300" i="1"/>
  <c r="I893" i="1"/>
  <c r="I173" i="1"/>
  <c r="I1112" i="1"/>
  <c r="I1001" i="1"/>
  <c r="I1040" i="1"/>
  <c r="I684" i="1"/>
  <c r="I296" i="1"/>
  <c r="I287" i="1"/>
  <c r="I599" i="1"/>
  <c r="I187" i="1"/>
  <c r="I230" i="1"/>
  <c r="I880" i="1"/>
  <c r="I616" i="1"/>
  <c r="I368" i="1"/>
  <c r="I313" i="1"/>
  <c r="I963" i="1"/>
  <c r="I1054" i="1"/>
  <c r="I378" i="1"/>
  <c r="I349" i="1"/>
  <c r="I333" i="1"/>
  <c r="I912" i="1"/>
  <c r="I152" i="1"/>
  <c r="I214" i="1"/>
  <c r="I186" i="1"/>
  <c r="I902" i="1"/>
  <c r="I264" i="1"/>
  <c r="I265" i="1"/>
  <c r="I376" i="1"/>
  <c r="I352" i="1"/>
  <c r="I603" i="1"/>
  <c r="I206" i="1"/>
  <c r="I231" i="1"/>
  <c r="I598" i="1"/>
  <c r="I968" i="1"/>
  <c r="I928" i="1"/>
  <c r="I635" i="1"/>
  <c r="I381" i="1"/>
  <c r="I174" i="1"/>
  <c r="I906" i="1"/>
  <c r="I382" i="1"/>
  <c r="I245" i="1"/>
  <c r="I302" i="1"/>
  <c r="I342" i="1"/>
  <c r="I894" i="1"/>
  <c r="I229" i="1"/>
  <c r="I261" i="1"/>
  <c r="I916" i="1"/>
  <c r="I975" i="1"/>
  <c r="I1105" i="1"/>
  <c r="I685" i="1"/>
  <c r="I970" i="1"/>
  <c r="I370" i="1"/>
  <c r="I884" i="1"/>
  <c r="I284" i="1"/>
  <c r="I276" i="1"/>
  <c r="I172" i="1"/>
  <c r="I209" i="1"/>
  <c r="I889" i="1"/>
  <c r="I181" i="1"/>
  <c r="I320" i="1"/>
  <c r="I903" i="1"/>
  <c r="I1111" i="1"/>
  <c r="I972" i="1"/>
  <c r="I1023" i="1"/>
  <c r="I915" i="1"/>
  <c r="I384" i="1"/>
  <c r="I896" i="1"/>
  <c r="I217" i="1"/>
  <c r="I236" i="1"/>
  <c r="I203" i="1"/>
  <c r="I888" i="1"/>
  <c r="I335" i="1"/>
  <c r="I279" i="1"/>
  <c r="I383" i="1"/>
  <c r="I897" i="1"/>
  <c r="I602" i="1"/>
  <c r="I153" i="1"/>
  <c r="I211" i="1"/>
  <c r="I1013" i="1"/>
  <c r="I1033" i="1"/>
  <c r="I1014" i="1"/>
  <c r="I640" i="1"/>
  <c r="I178" i="1"/>
  <c r="I298" i="1"/>
  <c r="I601" i="1"/>
  <c r="I263" i="1"/>
  <c r="I215" i="1"/>
  <c r="I319" i="1"/>
  <c r="I868" i="1"/>
  <c r="I613" i="1"/>
  <c r="I395" i="1"/>
  <c r="I308" i="1"/>
  <c r="I984" i="1"/>
  <c r="I1004" i="1"/>
  <c r="I1005" i="1"/>
  <c r="I192" i="1"/>
  <c r="I249" i="1"/>
  <c r="I198" i="1"/>
  <c r="I869" i="1"/>
  <c r="I151" i="1"/>
  <c r="I923" i="1"/>
  <c r="I1080" i="1"/>
  <c r="I696" i="1"/>
  <c r="I760" i="1"/>
  <c r="I241" i="1"/>
  <c r="I315" i="1"/>
  <c r="I285" i="1"/>
  <c r="I248" i="1"/>
  <c r="I259" i="1"/>
  <c r="I189" i="1"/>
  <c r="I907" i="1"/>
  <c r="I218" i="1"/>
  <c r="I301" i="1"/>
  <c r="I882" i="1"/>
  <c r="I1034" i="1"/>
  <c r="I931" i="1"/>
  <c r="I332" i="1"/>
  <c r="I289" i="1"/>
  <c r="I182" i="1"/>
  <c r="I594" i="1"/>
  <c r="I188" i="1"/>
  <c r="I196" i="1"/>
  <c r="I292" i="1"/>
  <c r="I364" i="1"/>
  <c r="I340" i="1"/>
  <c r="I881" i="1"/>
  <c r="I246" i="1"/>
  <c r="I290" i="1"/>
  <c r="I876" i="1"/>
  <c r="I1073" i="1"/>
  <c r="I1019" i="1"/>
  <c r="I1002" i="1"/>
  <c r="I701" i="1"/>
  <c r="I714" i="1"/>
  <c r="I707" i="1"/>
  <c r="I722" i="1"/>
  <c r="I704" i="1"/>
  <c r="I712" i="1"/>
  <c r="I720" i="1"/>
  <c r="I748" i="1"/>
  <c r="I702" i="1"/>
  <c r="I536" i="1"/>
  <c r="I790" i="1"/>
  <c r="I520" i="1"/>
  <c r="I1158" i="1"/>
  <c r="I1184" i="1"/>
  <c r="I1134" i="1"/>
  <c r="I781" i="1"/>
  <c r="I502" i="1"/>
  <c r="I808" i="1"/>
  <c r="I496" i="1"/>
  <c r="I566" i="1"/>
  <c r="I524" i="1"/>
  <c r="I848" i="1"/>
  <c r="I421" i="1"/>
  <c r="I406" i="1"/>
  <c r="I534" i="1"/>
  <c r="I1237" i="1"/>
  <c r="I1138" i="1"/>
  <c r="I1177" i="1"/>
  <c r="I1162" i="1"/>
  <c r="I1206" i="1"/>
  <c r="I717" i="1"/>
  <c r="I815" i="1"/>
  <c r="I411" i="1"/>
  <c r="I1202" i="1"/>
  <c r="I1144" i="1"/>
  <c r="I1147" i="1"/>
  <c r="I531" i="1"/>
  <c r="I811" i="1"/>
  <c r="I445" i="1"/>
  <c r="I462" i="1"/>
  <c r="I583" i="1"/>
  <c r="I1201" i="1"/>
  <c r="I1218" i="1"/>
  <c r="I1180" i="1"/>
  <c r="I1182" i="1"/>
  <c r="I1166" i="1"/>
  <c r="I1251" i="1"/>
  <c r="I735" i="1"/>
  <c r="I430" i="1"/>
  <c r="I797" i="1"/>
  <c r="I456" i="1"/>
  <c r="I789" i="1"/>
  <c r="I527" i="1"/>
  <c r="I828" i="1"/>
  <c r="I444" i="1"/>
  <c r="I433" i="1"/>
  <c r="I574" i="1"/>
  <c r="I1181" i="1"/>
  <c r="I1203" i="1"/>
  <c r="I1186" i="1"/>
  <c r="I1143" i="1"/>
  <c r="I1178" i="1"/>
  <c r="I1127" i="1"/>
  <c r="I703" i="1"/>
  <c r="I665" i="1"/>
  <c r="I801" i="1"/>
  <c r="I408" i="1"/>
  <c r="I1145" i="1"/>
  <c r="I1199" i="1"/>
  <c r="I1192" i="1"/>
  <c r="I709" i="1"/>
  <c r="I777" i="1"/>
  <c r="I771" i="1"/>
  <c r="I860" i="1"/>
  <c r="I846" i="1"/>
  <c r="I514" i="1"/>
  <c r="I813" i="1"/>
  <c r="I791" i="1"/>
  <c r="I503" i="1"/>
  <c r="I562" i="1"/>
  <c r="I557" i="1"/>
  <c r="I1188" i="1"/>
  <c r="I1131" i="1"/>
  <c r="I1156" i="1"/>
  <c r="I1197" i="1"/>
  <c r="I1133" i="1"/>
  <c r="I1175" i="1"/>
  <c r="I715" i="1"/>
  <c r="I540" i="1"/>
  <c r="I794" i="1"/>
  <c r="I578" i="1"/>
  <c r="I1195" i="1"/>
  <c r="I1171" i="1"/>
  <c r="I538" i="1"/>
  <c r="I821" i="1"/>
  <c r="I833" i="1"/>
  <c r="I448" i="1"/>
  <c r="I539" i="1"/>
  <c r="I545" i="1"/>
  <c r="I1122" i="1"/>
  <c r="I1124" i="1"/>
  <c r="I1170" i="1"/>
  <c r="I1130" i="1"/>
  <c r="I1136" i="1"/>
  <c r="I727" i="1"/>
  <c r="I487" i="1"/>
  <c r="I855" i="1"/>
  <c r="I413" i="1"/>
  <c r="I803" i="1"/>
  <c r="I515" i="1"/>
  <c r="I826" i="1"/>
  <c r="I800" i="1"/>
  <c r="I450" i="1"/>
  <c r="I525" i="1"/>
  <c r="I625" i="1"/>
  <c r="I1137" i="1"/>
  <c r="I1126" i="1"/>
  <c r="I1256" i="1"/>
  <c r="I1196" i="1"/>
  <c r="I736" i="1"/>
  <c r="I658" i="1"/>
  <c r="I1208" i="1"/>
  <c r="I1176" i="1"/>
  <c r="I582" i="1"/>
  <c r="I426" i="1"/>
  <c r="I449" i="1"/>
  <c r="I787" i="1"/>
  <c r="I552" i="1"/>
  <c r="I438" i="1"/>
  <c r="I453" i="1"/>
  <c r="I770" i="1"/>
  <c r="I507" i="1"/>
  <c r="I431" i="1"/>
  <c r="I772" i="1"/>
  <c r="I1228" i="1"/>
  <c r="I1132" i="1"/>
  <c r="I577" i="1"/>
  <c r="I493" i="1"/>
  <c r="I839" i="1"/>
  <c r="I776" i="1"/>
  <c r="I528" i="1"/>
  <c r="I468" i="1"/>
  <c r="I495" i="1"/>
  <c r="I814" i="1"/>
  <c r="I1167" i="1"/>
  <c r="I1152" i="1"/>
  <c r="I529" i="1"/>
  <c r="I473" i="1"/>
  <c r="I452" i="1"/>
  <c r="I843" i="1"/>
  <c r="I543" i="1"/>
  <c r="I516" i="1"/>
  <c r="I432" i="1"/>
  <c r="I793" i="1"/>
  <c r="I816" i="1"/>
  <c r="I422" i="1"/>
  <c r="I849" i="1"/>
  <c r="I1187" i="1"/>
  <c r="I1236" i="1"/>
  <c r="I535" i="1"/>
  <c r="I472" i="1"/>
  <c r="I483" i="1"/>
  <c r="I851" i="1"/>
  <c r="I576" i="1"/>
  <c r="I455" i="1"/>
  <c r="I486" i="1"/>
  <c r="I844" i="1"/>
  <c r="I825" i="1"/>
  <c r="I1099" i="1"/>
  <c r="I1227" i="1"/>
  <c r="I1235" i="1"/>
  <c r="I832" i="1"/>
  <c r="I420" i="1"/>
  <c r="I548" i="1"/>
  <c r="I478" i="1"/>
  <c r="I447" i="1"/>
  <c r="I585" i="1"/>
  <c r="I1238" i="1"/>
  <c r="I1150" i="1"/>
  <c r="I784" i="1"/>
  <c r="I484" i="1"/>
  <c r="I505" i="1"/>
  <c r="I728" i="1"/>
  <c r="I1224" i="1"/>
  <c r="I1067" i="1"/>
  <c r="I919" i="1"/>
  <c r="I723" i="1"/>
  <c r="I1075" i="1"/>
  <c r="I835" i="1"/>
  <c r="I474" i="1"/>
  <c r="I443" i="1"/>
  <c r="I572" i="1"/>
  <c r="I775" i="1"/>
  <c r="I508" i="1"/>
  <c r="I497" i="1"/>
  <c r="I575" i="1"/>
  <c r="I593" i="1"/>
  <c r="I1129" i="1"/>
  <c r="I1056" i="1"/>
  <c r="I1242" i="1"/>
  <c r="I1252" i="1"/>
  <c r="I862" i="1"/>
  <c r="I809" i="1"/>
  <c r="I522" i="1"/>
  <c r="I827" i="1"/>
  <c r="I1092" i="1"/>
  <c r="I1079" i="1"/>
  <c r="I1055" i="1"/>
  <c r="I737" i="1"/>
  <c r="I1095" i="1"/>
  <c r="I812" i="1"/>
  <c r="I788" i="1"/>
  <c r="I407" i="1"/>
  <c r="I542" i="1"/>
  <c r="I523" i="1"/>
  <c r="I834" i="1"/>
  <c r="I485" i="1"/>
  <c r="I470" i="1"/>
  <c r="I541" i="1"/>
  <c r="I1230" i="1"/>
  <c r="I1149" i="1"/>
  <c r="I481" i="1"/>
  <c r="I458" i="1"/>
  <c r="I1093" i="1"/>
  <c r="I1084" i="1"/>
  <c r="I1229" i="1"/>
  <c r="I1089" i="1"/>
  <c r="I1070" i="1"/>
  <c r="I1217" i="1"/>
  <c r="I146" i="1"/>
  <c r="I1254" i="1"/>
  <c r="I817" i="1"/>
  <c r="I451" i="1"/>
  <c r="I440" i="1"/>
  <c r="I549" i="1"/>
  <c r="I785" i="1"/>
  <c r="I850" i="1"/>
  <c r="I423" i="1"/>
  <c r="I563" i="1"/>
  <c r="I570" i="1"/>
  <c r="I1139" i="1"/>
  <c r="I1168" i="1"/>
  <c r="I387" i="1"/>
  <c r="I1246" i="1"/>
  <c r="I1113" i="1"/>
  <c r="I1110" i="1"/>
  <c r="I1046" i="1"/>
  <c r="I1223" i="1"/>
  <c r="I724" i="1"/>
  <c r="I591" i="1"/>
  <c r="I1107" i="1"/>
  <c r="I725" i="1"/>
  <c r="I1081" i="1"/>
  <c r="I1050" i="1"/>
  <c r="I1063" i="1"/>
  <c r="I624" i="1"/>
  <c r="I405" i="1"/>
  <c r="I1066" i="1"/>
  <c r="I398" i="1"/>
  <c r="I721" i="1"/>
  <c r="I1249" i="1"/>
  <c r="I740" i="1"/>
  <c r="I1049" i="1"/>
  <c r="I742" i="1"/>
  <c r="I1209" i="1"/>
  <c r="I1102" i="1"/>
  <c r="I392" i="1"/>
  <c r="I699" i="1"/>
  <c r="I718" i="1"/>
  <c r="I1222" i="1"/>
  <c r="I1116" i="1"/>
  <c r="I1098" i="1"/>
  <c r="I98" i="1"/>
  <c r="I75" i="1"/>
  <c r="I68" i="1"/>
  <c r="I65" i="1"/>
  <c r="I70" i="1"/>
  <c r="I89" i="1"/>
  <c r="I124" i="1"/>
  <c r="I126" i="1"/>
  <c r="I85" i="1"/>
  <c r="I123" i="1"/>
  <c r="I105" i="1"/>
  <c r="I132" i="1"/>
  <c r="I118" i="1"/>
  <c r="I112" i="1"/>
  <c r="I62" i="1"/>
  <c r="I55" i="1"/>
  <c r="I108" i="1"/>
  <c r="I56" i="1"/>
  <c r="I135" i="1"/>
  <c r="I88" i="1"/>
  <c r="I117" i="1"/>
  <c r="I111" i="1"/>
  <c r="I130" i="1"/>
  <c r="I116" i="1"/>
  <c r="I84" i="1"/>
  <c r="I119" i="1"/>
  <c r="I96" i="1"/>
  <c r="I133" i="1"/>
  <c r="I86" i="1"/>
  <c r="I127" i="1"/>
  <c r="I92" i="1"/>
  <c r="I125" i="1"/>
  <c r="I94" i="1"/>
  <c r="I129" i="1"/>
  <c r="I136" i="1"/>
  <c r="I114" i="1"/>
  <c r="I51" i="1"/>
  <c r="I100" i="1"/>
  <c r="I141" i="1"/>
  <c r="I113" i="1"/>
  <c r="I101" i="1"/>
  <c r="I90" i="1"/>
  <c r="I121" i="1"/>
  <c r="I140" i="1"/>
  <c r="I72" i="1"/>
  <c r="I97" i="1"/>
  <c r="I120" i="1"/>
  <c r="I367" i="1"/>
  <c r="I272" i="1"/>
  <c r="I605" i="1"/>
  <c r="I346" i="1"/>
  <c r="I359" i="1"/>
  <c r="I394" i="1"/>
  <c r="I873" i="1"/>
  <c r="I595" i="1"/>
  <c r="I160" i="1"/>
  <c r="I210" i="1"/>
  <c r="I987" i="1"/>
  <c r="I991" i="1"/>
  <c r="I1015" i="1"/>
  <c r="I695" i="1"/>
  <c r="I234" i="1"/>
  <c r="I344" i="1"/>
  <c r="I604" i="1"/>
  <c r="I328" i="1"/>
  <c r="I201" i="1"/>
  <c r="I312" i="1"/>
  <c r="I597" i="1"/>
  <c r="I389" i="1"/>
  <c r="I362" i="1"/>
  <c r="I615" i="1"/>
  <c r="I935" i="1"/>
  <c r="I1039" i="1"/>
  <c r="I726" i="1"/>
  <c r="I705" i="1"/>
  <c r="I732" i="1"/>
  <c r="I1225" i="1"/>
  <c r="I729" i="1"/>
  <c r="I731" i="1"/>
  <c r="I1154" i="1"/>
  <c r="I710" i="1"/>
  <c r="I711" i="1"/>
  <c r="I677" i="1"/>
  <c r="I857" i="1"/>
  <c r="I425" i="1"/>
  <c r="I553" i="1"/>
  <c r="I1245" i="1"/>
  <c r="I1211" i="1"/>
  <c r="I741" i="1"/>
  <c r="I492" i="1"/>
  <c r="I842" i="1"/>
  <c r="I510" i="1"/>
  <c r="I840" i="1"/>
  <c r="I512" i="1"/>
  <c r="I805" i="1"/>
  <c r="I466" i="1"/>
  <c r="I499" i="1"/>
  <c r="I558" i="1"/>
  <c r="I1141" i="1"/>
  <c r="I1193" i="1"/>
  <c r="I1210" i="1"/>
  <c r="I1239" i="1"/>
  <c r="I1121" i="1"/>
  <c r="I739" i="1"/>
  <c r="I571" i="1"/>
  <c r="I442" i="1"/>
  <c r="I554" i="1"/>
  <c r="I1205" i="1"/>
  <c r="I1174" i="1"/>
  <c r="I555" i="1"/>
  <c r="I829" i="1"/>
  <c r="I807" i="1"/>
  <c r="I491" i="1"/>
  <c r="I409" i="1"/>
  <c r="I530" i="1"/>
  <c r="I1204" i="1"/>
  <c r="I1173" i="1"/>
  <c r="I1164" i="1"/>
  <c r="I1219" i="1"/>
  <c r="I1155" i="1"/>
  <c r="I706" i="1"/>
  <c r="I819" i="1"/>
  <c r="I480" i="1"/>
  <c r="I831" i="1"/>
  <c r="I779" i="1"/>
  <c r="I519" i="1"/>
  <c r="I823" i="1"/>
  <c r="I780" i="1"/>
  <c r="I454" i="1"/>
  <c r="I513" i="1"/>
  <c r="I581" i="1"/>
  <c r="I1120" i="1"/>
  <c r="I1151" i="1"/>
  <c r="I1214" i="1"/>
  <c r="I1231" i="1"/>
  <c r="I1216" i="1"/>
  <c r="I719" i="1"/>
  <c r="I713" i="1"/>
  <c r="I526" i="1"/>
  <c r="I419" i="1"/>
  <c r="I588" i="1"/>
  <c r="I1213" i="1"/>
  <c r="I1243" i="1"/>
  <c r="I1128" i="1"/>
  <c r="I1179" i="1"/>
  <c r="I479" i="1"/>
  <c r="I799" i="1"/>
  <c r="I410" i="1"/>
  <c r="I853" i="1"/>
  <c r="I551" i="1"/>
  <c r="I792" i="1"/>
  <c r="I414" i="1"/>
  <c r="I490" i="1"/>
  <c r="I556" i="1"/>
  <c r="I1160" i="1"/>
  <c r="I1190" i="1"/>
  <c r="I1146" i="1"/>
  <c r="I1169" i="1"/>
  <c r="I1185" i="1"/>
  <c r="I1240" i="1"/>
  <c r="I922" i="1"/>
  <c r="I716" i="1"/>
  <c r="I773" i="1"/>
  <c r="I429" i="1"/>
  <c r="I747" i="1"/>
  <c r="I1207" i="1"/>
  <c r="I559" i="1"/>
  <c r="I568" i="1"/>
  <c r="I824" i="1"/>
  <c r="I488" i="1"/>
  <c r="I469" i="1"/>
  <c r="I579" i="1"/>
  <c r="I1198" i="1"/>
  <c r="I1189" i="1"/>
  <c r="I1172" i="1"/>
  <c r="I1123" i="1"/>
  <c r="I1200" i="1"/>
  <c r="I734" i="1"/>
  <c r="I626" i="1"/>
  <c r="I437" i="1"/>
  <c r="I838" i="1"/>
  <c r="I459" i="1"/>
  <c r="I561" i="1"/>
  <c r="I564" i="1"/>
  <c r="I836" i="1"/>
  <c r="I463" i="1"/>
  <c r="I436" i="1"/>
  <c r="I590" i="1"/>
  <c r="I1159" i="1"/>
  <c r="I1140" i="1"/>
  <c r="I1119" i="1"/>
  <c r="I863" i="1"/>
  <c r="I1161" i="1"/>
  <c r="I708" i="1"/>
  <c r="I1142" i="1"/>
  <c r="I1194" i="1"/>
  <c r="I587" i="1"/>
  <c r="I560" i="1"/>
  <c r="I439" i="1"/>
  <c r="I852" i="1"/>
  <c r="I806" i="1"/>
  <c r="I544" i="1"/>
  <c r="I428" i="1"/>
  <c r="I498" i="1"/>
  <c r="I820" i="1"/>
  <c r="I418" i="1"/>
  <c r="I841" i="1"/>
  <c r="I1157" i="1"/>
  <c r="I1163" i="1"/>
  <c r="I537" i="1"/>
  <c r="I475" i="1"/>
  <c r="I506" i="1"/>
  <c r="I837" i="1"/>
  <c r="I567" i="1"/>
  <c r="I569" i="1"/>
  <c r="I482" i="1"/>
  <c r="I786" i="1"/>
  <c r="I783" i="1"/>
  <c r="I1191" i="1"/>
  <c r="I586" i="1"/>
  <c r="I435" i="1"/>
  <c r="I509" i="1"/>
  <c r="I818" i="1"/>
  <c r="I521" i="1"/>
  <c r="I415" i="1"/>
  <c r="I446" i="1"/>
  <c r="I856" i="1"/>
  <c r="I504" i="1"/>
  <c r="I412" i="1"/>
  <c r="I1135" i="1"/>
  <c r="I1165" i="1"/>
  <c r="I550" i="1"/>
  <c r="I573" i="1"/>
  <c r="I489" i="1"/>
  <c r="I847" i="1"/>
  <c r="I782" i="1"/>
  <c r="I589" i="1"/>
  <c r="I465" i="1"/>
  <c r="I476" i="1"/>
  <c r="I822" i="1"/>
  <c r="I657" i="1"/>
  <c r="I743" i="1"/>
  <c r="I1072" i="1"/>
  <c r="I738" i="1"/>
  <c r="I477" i="1"/>
  <c r="I441" i="1"/>
  <c r="I778" i="1"/>
  <c r="I464" i="1"/>
  <c r="I580" i="1"/>
  <c r="I546" i="1"/>
  <c r="I1125" i="1"/>
  <c r="I1153" i="1"/>
  <c r="I434" i="1"/>
  <c r="I467" i="1"/>
  <c r="I1101" i="1"/>
  <c r="I861" i="1"/>
  <c r="I1058" i="1"/>
  <c r="I1220" i="1"/>
  <c r="I1114" i="1"/>
  <c r="I1215" i="1"/>
  <c r="I845" i="1"/>
  <c r="I854" i="1"/>
  <c r="I461" i="1"/>
  <c r="I532" i="1"/>
  <c r="I859" i="1"/>
  <c r="I774" i="1"/>
  <c r="I427" i="1"/>
  <c r="I416" i="1"/>
  <c r="I565" i="1"/>
  <c r="I1255" i="1"/>
  <c r="I1148" i="1"/>
  <c r="I1064" i="1"/>
  <c r="I1118" i="1"/>
  <c r="I920" i="1"/>
  <c r="I494" i="1"/>
  <c r="I802" i="1"/>
  <c r="I769" i="1"/>
  <c r="I1234" i="1"/>
  <c r="I1212" i="1"/>
  <c r="I592" i="1"/>
  <c r="I1244" i="1"/>
  <c r="I700" i="1"/>
  <c r="I810" i="1"/>
  <c r="I417" i="1"/>
  <c r="I501" i="1"/>
  <c r="I518" i="1"/>
  <c r="I798" i="1"/>
  <c r="I796" i="1"/>
  <c r="I460" i="1"/>
  <c r="I533" i="1"/>
  <c r="I921" i="1"/>
  <c r="I1183" i="1"/>
  <c r="I830" i="1"/>
  <c r="I471" i="1"/>
  <c r="I1078" i="1"/>
  <c r="I1087" i="1"/>
  <c r="I1241" i="1"/>
  <c r="I733" i="1"/>
  <c r="I1074" i="1"/>
  <c r="I1117" i="1"/>
  <c r="I1104" i="1"/>
  <c r="I1221" i="1"/>
  <c r="I804" i="1"/>
  <c r="I858" i="1"/>
  <c r="I457" i="1"/>
  <c r="I584" i="1"/>
  <c r="I547" i="1"/>
  <c r="I795" i="1"/>
  <c r="I424" i="1"/>
  <c r="I500" i="1"/>
  <c r="I517" i="1"/>
  <c r="I1226" i="1"/>
  <c r="I1233" i="1"/>
  <c r="I1096" i="1"/>
  <c r="I1071" i="1"/>
  <c r="I396" i="1"/>
  <c r="I1232" i="1"/>
  <c r="I399" i="1"/>
  <c r="I385" i="1"/>
  <c r="I1106" i="1"/>
  <c r="I1253" i="1"/>
  <c r="I1061" i="1"/>
  <c r="I401" i="1"/>
  <c r="I623" i="1"/>
  <c r="I1247" i="1"/>
  <c r="I402" i="1"/>
  <c r="I1057" i="1"/>
  <c r="I1052" i="1"/>
  <c r="I1250" i="1"/>
  <c r="I745" i="1"/>
  <c r="I1060" i="1"/>
  <c r="I746" i="1"/>
  <c r="I386" i="1"/>
  <c r="I397" i="1"/>
  <c r="I511" i="1"/>
  <c r="I1090" i="1"/>
  <c r="I403" i="1"/>
  <c r="I1069" i="1"/>
  <c r="I1248" i="1"/>
  <c r="I744" i="1"/>
  <c r="I698" i="1"/>
  <c r="I730" i="1"/>
  <c r="I137" i="1"/>
  <c r="I109" i="1"/>
  <c r="I134" i="1"/>
  <c r="I128" i="1"/>
  <c r="I138" i="1"/>
  <c r="I63" i="1"/>
  <c r="I64" i="1"/>
  <c r="I53" i="1"/>
  <c r="I104" i="1"/>
  <c r="I74" i="1"/>
  <c r="I67" i="1"/>
  <c r="I60" i="1"/>
  <c r="I57" i="1"/>
  <c r="I139" i="1"/>
  <c r="I122" i="1"/>
  <c r="I87" i="1"/>
  <c r="I131" i="1"/>
  <c r="I110" i="1"/>
  <c r="I77" i="1"/>
  <c r="I91" i="1"/>
  <c r="I82" i="1"/>
  <c r="I66" i="1"/>
  <c r="I59" i="1"/>
  <c r="I52" i="1"/>
  <c r="I102" i="1"/>
  <c r="I81" i="1"/>
  <c r="I107" i="1"/>
  <c r="I54" i="1"/>
  <c r="I106" i="1"/>
  <c r="I79" i="1"/>
  <c r="I99" i="1"/>
  <c r="I80" i="1"/>
  <c r="I103" i="1"/>
  <c r="I69" i="1"/>
  <c r="I58" i="1"/>
  <c r="I143" i="1"/>
  <c r="I83" i="1"/>
  <c r="I115" i="1"/>
  <c r="I76" i="1"/>
  <c r="I73" i="1"/>
  <c r="I78" i="1"/>
  <c r="I95" i="1"/>
  <c r="I71" i="1"/>
  <c r="I93" i="1"/>
  <c r="I142" i="1"/>
  <c r="I61" i="1"/>
  <c r="I1257" i="1"/>
  <c r="K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<sst xmlns="http://schemas.openxmlformats.org/spreadsheetml/2006/main" count="120" uniqueCount="50">
  <si>
    <t>date</t>
  </si>
  <si>
    <t>adj_close</t>
  </si>
  <si>
    <t>sma_20</t>
  </si>
  <si>
    <t>sma_50</t>
  </si>
  <si>
    <t>NULL</t>
  </si>
  <si>
    <t>signal</t>
  </si>
  <si>
    <t>position</t>
  </si>
  <si>
    <t>Hold</t>
  </si>
  <si>
    <t>cumulative_return</t>
  </si>
  <si>
    <t>daily_return</t>
  </si>
  <si>
    <t>metric</t>
  </si>
  <si>
    <t>total return</t>
  </si>
  <si>
    <t>win/loss ratio</t>
  </si>
  <si>
    <t>max drawdown</t>
  </si>
  <si>
    <t>no of trades</t>
  </si>
  <si>
    <t>annualized return</t>
  </si>
  <si>
    <t>values</t>
  </si>
  <si>
    <t>Buy Date</t>
  </si>
  <si>
    <t>Trade #</t>
  </si>
  <si>
    <t>Buy Price</t>
  </si>
  <si>
    <t>Sell Date</t>
  </si>
  <si>
    <t>Sell Price</t>
  </si>
  <si>
    <t>Profit_Loss</t>
  </si>
  <si>
    <t>Win_Loss</t>
  </si>
  <si>
    <t>drawdown</t>
  </si>
  <si>
    <t>Project: Trading Signal Generator</t>
  </si>
  <si>
    <t>Tools:</t>
  </si>
  <si>
    <t>Methodology:</t>
  </si>
  <si>
    <t>Results:</t>
  </si>
  <si>
    <t>Visualization:</t>
  </si>
  <si>
    <t>Key Insights:</t>
  </si>
  <si>
    <t>buy_and_hold</t>
  </si>
  <si>
    <t>~Max Drawdown: -16%</t>
  </si>
  <si>
    <t>~Number of Trades: 12</t>
  </si>
  <si>
    <t>~Win/Loss Ratio: 10 (10 wins, 1 loss)</t>
  </si>
  <si>
    <t>~Created a line chart in Tableau showing the strategy’s cumulative return over time, compared to a buy-and-hold benchmark (71.4% return).</t>
  </si>
  <si>
    <t>~The strategy captured significant gains (49%) with a high win rate (10:1), but underperformed a buy-and-hold approach (71.4%) due to periods out of the market.</t>
  </si>
  <si>
    <t>~Max drawdown of -16% indicates lower risk compared to SPY’s buy-and-hold drawdown (~20-25% in 2022).</t>
  </si>
  <si>
    <t>~Calculated 20-day and 50-day SMAs in SQL.</t>
  </si>
  <si>
    <t>~Generated Buy/Sell signals in Excel (Buy: sma_20 crosses above sma_50; Sell: sma_20 crosses below sma_50).</t>
  </si>
  <si>
    <t>~Filtered 203 Buy and 683 Sell signals into 12 distinct trades (ignoring consecutive signals).</t>
  </si>
  <si>
    <t>~Backtested returns AND evaluated performance.</t>
  </si>
  <si>
    <t xml:space="preserve">~Python (yfinance for data download) </t>
  </si>
  <si>
    <t xml:space="preserve">~SQL (PostgreSQL for data prep, calculating SMAs) </t>
  </si>
  <si>
    <t>~Excel (signal generation, backtesting, metrics)</t>
  </si>
  <si>
    <t>~Tableau (visualization of cumulative returns)</t>
  </si>
  <si>
    <t>~Total Return:  49%</t>
  </si>
  <si>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>: S&amp;P500 daily prices from 9/30/2020 to 3/7/2025, sourced via yfinance and stored in PostgreSQL.</t>
    </r>
  </si>
  <si>
    <r>
      <rPr>
        <b/>
        <sz val="11"/>
        <color theme="1"/>
        <rFont val="Calibri"/>
        <family val="2"/>
        <scheme val="minor"/>
      </rPr>
      <t>Objective</t>
    </r>
    <r>
      <rPr>
        <sz val="11"/>
        <color theme="1"/>
        <rFont val="Calibri"/>
        <family val="2"/>
        <scheme val="minor"/>
      </rPr>
      <t>: Developed a 20/50-day Simple Moving Average (SMA) crossover trading strategy for S&amp;P500.</t>
    </r>
  </si>
  <si>
    <t>~Annualized Return: 9.4%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</si>
</sst>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9" fontId="0" fillId="0" borderId="0" xfId="1" applyFont="1"/>
    <xf numFmtId="0" fontId="16" fillId="0" borderId="0" xfId="0" applyFont="1"/>
    <xf numFmtId="2" fontId="0" fillId="0" borderId="0" xfId="0" applyNumberFormat="1"/>
    <xf numFmtId="0" fontId="15" fillId="0" borderId="0" xfId="17"/>
    <xf numFmtId="0" fontId="1" fillId="0" borderId="0" xfId="17" applyFont="1"/>
    <xf numFmtId="0" fontId="16" fillId="0" borderId="0" xfId="17" applyFont="1"/>
    <xf numFmtId="0" fontId="0" fillId="0" borderId="0" xfId="17" applyFont="1"/>
    <xf numFmtId="0" fontId="18" fillId="0" borderId="0" xfId="17" applyFont="1"/>
    <xf numFmtId="164" fontId="0" fillId="0" borderId="0" xfId="0" applyNumberFormat="1"/>
    <xf numFmtId="2" fontId="16" fillId="0" borderId="0" xfId="1" applyNumberFormat="1" applyFont="1"/>
    <xf numFmtId="2" fontId="0" fillId="0" borderId="0" xfId="1" applyNumberFormat="1" applyFont="1"/>
    <xf numFmtId="167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numFmt numFmtId="19" formatCode="m/d/yyyy"/>
    </dxf>
    <dxf>
      <numFmt numFmtId="2" formatCode="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4E649-EF48-4760-A0D2-2225C36E3188}" name="Table1" displayName="Table1" ref="J1:K6" totalsRowShown="0" headerRowDxfId="7">
  <autoFilter ref="J1:K6" xr:uid="{D724E649-EF48-4760-A0D2-2225C36E3188}"/>
  <tableColumns count="2">
    <tableColumn id="1" xr3:uid="{C726F25B-3DD6-40B9-992B-0A7953D851A1}" name="metric"/>
    <tableColumn id="2" xr3:uid="{55CAC6CD-DF9F-4100-8C98-E6C207011E1E}" name="values" dataDxfId="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B4DAC6-BD8E-4FC3-9597-335075EEAB24}" name="Table2" displayName="Table2" ref="A1:G13" totalsRowShown="0" headerRowDxfId="3">
  <autoFilter ref="A1:G13" xr:uid="{4EB4DAC6-BD8E-4FC3-9597-335075EEAB24}"/>
  <tableColumns count="7">
    <tableColumn id="1" xr3:uid="{3000B43F-D02F-4460-AB84-A107A30834AD}" name="Trade #"/>
    <tableColumn id="2" xr3:uid="{C8DDAAC8-66CD-4531-BB20-416B3465E3A4}" name="Buy Date" dataDxfId="2"/>
    <tableColumn id="3" xr3:uid="{3F6D79A7-BCBA-4D12-863B-94F8B305B155}" name="Buy Price" dataDxfId="1"/>
    <tableColumn id="4" xr3:uid="{DCEA9B0D-F304-4C21-AF21-95D3DEC9FD32}" name="Sell Date" dataDxfId="0"/>
    <tableColumn id="5" xr3:uid="{1C932DC6-A024-4497-A755-8F3BD8C74676}" name="Sell Price"/>
    <tableColumn id="6" xr3:uid="{82A5DAF2-DFE5-4CE8-AA40-C83BFC7CFDF3}" name="Profit_Loss"/>
    <tableColumn id="7" xr3:uid="{60CC38E8-4AEF-4609-8230-F3AAFD935B6B}" name="Win_Loss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E568-7B93-4EB1-9F7E-1B14626F7635}">
  <sheetPr codeName="Sheet1"/>
  <dimension ref="A1:L1257"/>
  <sheetViews>
    <sheetView tabSelected="1" workbookViewId="0">
      <pane ySplit="1" topLeftCell="A2" activePane="bottomLeft" state="frozen"/>
      <selection pane="bottomLeft" activeCell="J7" sqref="J7"/>
    </sheetView>
  </sheetViews>
  <sheetFormatPr defaultRowHeight="15" x14ac:dyDescent="0.25"/>
  <cols>
    <col min="1" max="1" width="10.7109375" bestFit="1" customWidth="1"/>
    <col min="7" max="7" width="12.7109375" bestFit="1" customWidth="1"/>
    <col min="8" max="8" width="18.5703125" bestFit="1" customWidth="1"/>
    <col min="9" max="9" width="18.5703125" customWidth="1"/>
    <col min="10" max="10" width="16.85546875" bestFit="1" customWidth="1"/>
    <col min="12" max="12" width="16" bestFit="1" customWidth="1"/>
  </cols>
  <sheetData>
    <row r="1" spans="1:1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5</v>
      </c>
      <c r="F1" s="3" t="s">
        <v>6</v>
      </c>
      <c r="G1" s="3" t="s">
        <v>9</v>
      </c>
      <c r="H1" s="11" t="s">
        <v>8</v>
      </c>
      <c r="I1" s="3" t="s">
        <v>24</v>
      </c>
      <c r="J1" s="3" t="s">
        <v>10</v>
      </c>
      <c r="K1" s="3" t="s">
        <v>16</v>
      </c>
      <c r="L1" s="3" t="s">
        <v>31</v>
      </c>
    </row>
    <row r="2" spans="1:12" x14ac:dyDescent="0.25">
      <c r="A2" s="1">
        <v>43914</v>
      </c>
      <c r="B2">
        <v>234.419998168945</v>
      </c>
      <c r="C2" t="s">
        <v>4</v>
      </c>
      <c r="D2" t="s">
        <v>4</v>
      </c>
      <c r="E2" t="str">
        <f>IF(OR(ISBLANK(C2),ISBLANK(D2),ISBLANK(C3),ISBLANK(D3)), "Hold", IF(AND(C2&gt;C3,C3&lt;=D3), "Buy", IF(AND(C2&lt;C3,C3&gt;=D3), "Sell", "Hold")))</f>
        <v>Hold</v>
      </c>
      <c r="F2">
        <v>0</v>
      </c>
      <c r="G2">
        <f>IF(F2=1,(B3-B2)/B2,0)</f>
        <v>0</v>
      </c>
      <c r="H2" s="12" cm="1">
        <f t="array" ref="H2">PRODUCT(1+G$2:G2)-1</f>
        <v>0</v>
      </c>
      <c r="I2">
        <f>H2-MAX(H$2:H2)</f>
        <v>0</v>
      </c>
      <c r="J2" t="s">
        <v>11</v>
      </c>
      <c r="K2" s="2">
        <f>H1247</f>
        <v>0.4921376587596098</v>
      </c>
      <c r="L2" s="2">
        <v>0</v>
      </c>
    </row>
    <row r="3" spans="1:12" x14ac:dyDescent="0.25">
      <c r="A3" s="1">
        <v>43915</v>
      </c>
      <c r="B3">
        <v>244.86999511718699</v>
      </c>
      <c r="C3" t="s">
        <v>4</v>
      </c>
      <c r="D3" t="s">
        <v>4</v>
      </c>
      <c r="E3" t="str">
        <f t="shared" ref="E3:E66" si="0">IF(OR(ISBLANK(C3),ISBLANK(D3),ISBLANK(C4),ISBLANK(D4)), "Hold", IF(AND(C3&gt;C4,C4&lt;=D4), "Buy", IF(AND(C3&lt;C4,C4&gt;=D4), "Sell", "Hold")))</f>
        <v>Hold</v>
      </c>
      <c r="F3">
        <f>IF(E3="Buy",1, IF(E3="Sell",0,F2))</f>
        <v>0</v>
      </c>
      <c r="G3">
        <f t="shared" ref="G3:G66" si="1">IF(F3=1,(B4-B3)/B3,0)</f>
        <v>0</v>
      </c>
      <c r="H3" s="12" cm="1">
        <f t="array" ref="H3">PRODUCT(1+G$2:G3)-1</f>
        <v>0</v>
      </c>
      <c r="I3">
        <f>H3-MAX(H$2:H3)</f>
        <v>0</v>
      </c>
      <c r="J3" t="s">
        <v>12</v>
      </c>
      <c r="K3">
        <f>COUNTIF('Trade Log'!G:G,"Win")/COUNTIF('Trade Log'!G:G,"Loss")</f>
        <v>10</v>
      </c>
      <c r="L3" s="2">
        <v>0</v>
      </c>
    </row>
    <row r="4" spans="1:12" x14ac:dyDescent="0.25">
      <c r="A4" s="1">
        <v>43916</v>
      </c>
      <c r="B4">
        <v>249.52000427246</v>
      </c>
      <c r="C4" t="s">
        <v>4</v>
      </c>
      <c r="D4" t="s">
        <v>4</v>
      </c>
      <c r="E4" t="str">
        <f t="shared" si="0"/>
        <v>Hold</v>
      </c>
      <c r="F4">
        <f t="shared" ref="F4:F67" si="2">IF(E4="Buy",1, IF(E4="Sell",0,F3))</f>
        <v>0</v>
      </c>
      <c r="G4">
        <f t="shared" si="1"/>
        <v>0</v>
      </c>
      <c r="H4" s="12" cm="1">
        <f t="array" ref="H4">PRODUCT(1+G$2:G4)-1</f>
        <v>0</v>
      </c>
      <c r="I4">
        <f>H4-MAX(H$2:H4)</f>
        <v>0</v>
      </c>
      <c r="J4" t="s">
        <v>13</v>
      </c>
      <c r="K4" s="2">
        <f>MIN(I:I)</f>
        <v>-0.16200981673322934</v>
      </c>
      <c r="L4" s="2">
        <v>0</v>
      </c>
    </row>
    <row r="5" spans="1:12" x14ac:dyDescent="0.25">
      <c r="A5" s="1">
        <v>43917</v>
      </c>
      <c r="B5">
        <v>253.27000427246</v>
      </c>
      <c r="C5" t="s">
        <v>4</v>
      </c>
      <c r="D5" t="s">
        <v>4</v>
      </c>
      <c r="E5" t="str">
        <f t="shared" si="0"/>
        <v>Hold</v>
      </c>
      <c r="F5">
        <f t="shared" si="2"/>
        <v>0</v>
      </c>
      <c r="G5">
        <f t="shared" si="1"/>
        <v>0</v>
      </c>
      <c r="H5" s="12" cm="1">
        <f t="array" ref="H5">PRODUCT(1+G$2:G5)-1</f>
        <v>0</v>
      </c>
      <c r="I5">
        <f>H5-MAX(H$2:H5)</f>
        <v>0</v>
      </c>
      <c r="J5" t="s">
        <v>14</v>
      </c>
      <c r="K5">
        <v>12</v>
      </c>
      <c r="L5" s="2">
        <v>0</v>
      </c>
    </row>
    <row r="6" spans="1:12" x14ac:dyDescent="0.25">
      <c r="A6" s="1">
        <v>43920</v>
      </c>
      <c r="B6">
        <v>255.69999694824199</v>
      </c>
      <c r="C6" t="s">
        <v>4</v>
      </c>
      <c r="D6" t="s">
        <v>4</v>
      </c>
      <c r="E6" t="str">
        <f t="shared" si="0"/>
        <v>Hold</v>
      </c>
      <c r="F6">
        <f t="shared" si="2"/>
        <v>0</v>
      </c>
      <c r="G6">
        <f t="shared" si="1"/>
        <v>0</v>
      </c>
      <c r="H6" s="12" cm="1">
        <f t="array" ref="H6">PRODUCT(1+G$2:G6)-1</f>
        <v>0</v>
      </c>
      <c r="I6">
        <f>H6-MAX(H$2:H6)</f>
        <v>0</v>
      </c>
      <c r="J6" t="s">
        <v>15</v>
      </c>
      <c r="K6" s="13">
        <f>((1+K2)^(1/((MAX('Trade Log'!B:B)-MIN('Trade Log'!B:B))/365))-1)</f>
        <v>9.4422047388222019E-2</v>
      </c>
      <c r="L6" s="2">
        <v>0</v>
      </c>
    </row>
    <row r="7" spans="1:12" x14ac:dyDescent="0.25">
      <c r="A7" s="1">
        <v>43921</v>
      </c>
      <c r="B7">
        <v>260.55999755859301</v>
      </c>
      <c r="C7" t="s">
        <v>4</v>
      </c>
      <c r="D7" t="s">
        <v>4</v>
      </c>
      <c r="E7" t="str">
        <f t="shared" si="0"/>
        <v>Hold</v>
      </c>
      <c r="F7">
        <f t="shared" si="2"/>
        <v>0</v>
      </c>
      <c r="G7">
        <f t="shared" si="1"/>
        <v>0</v>
      </c>
      <c r="H7" s="12" cm="1">
        <f t="array" ref="H7">PRODUCT(1+G$2:G7)-1</f>
        <v>0</v>
      </c>
      <c r="I7">
        <f>H7-MAX(H$2:H7)</f>
        <v>0</v>
      </c>
      <c r="L7" s="2">
        <v>0</v>
      </c>
    </row>
    <row r="8" spans="1:12" x14ac:dyDescent="0.25">
      <c r="A8" s="1">
        <v>43922</v>
      </c>
      <c r="B8">
        <v>247.97999572753901</v>
      </c>
      <c r="C8" t="s">
        <v>4</v>
      </c>
      <c r="D8" t="s">
        <v>4</v>
      </c>
      <c r="E8" t="str">
        <f t="shared" si="0"/>
        <v>Hold</v>
      </c>
      <c r="F8">
        <f t="shared" si="2"/>
        <v>0</v>
      </c>
      <c r="G8">
        <f t="shared" si="1"/>
        <v>0</v>
      </c>
      <c r="H8" s="12" cm="1">
        <f t="array" ref="H8">PRODUCT(1+G$2:G8)-1</f>
        <v>0</v>
      </c>
      <c r="I8">
        <f>H8-MAX(H$2:H8)</f>
        <v>0</v>
      </c>
      <c r="L8" s="2">
        <v>0</v>
      </c>
    </row>
    <row r="9" spans="1:12" x14ac:dyDescent="0.25">
      <c r="A9" s="1">
        <v>43923</v>
      </c>
      <c r="B9">
        <v>245.19000244140599</v>
      </c>
      <c r="C9" t="s">
        <v>4</v>
      </c>
      <c r="D9" t="s">
        <v>4</v>
      </c>
      <c r="E9" t="str">
        <f t="shared" si="0"/>
        <v>Hold</v>
      </c>
      <c r="F9">
        <f t="shared" si="2"/>
        <v>0</v>
      </c>
      <c r="G9">
        <f t="shared" si="1"/>
        <v>0</v>
      </c>
      <c r="H9" s="12" cm="1">
        <f t="array" ref="H9">PRODUCT(1+G$2:G9)-1</f>
        <v>0</v>
      </c>
      <c r="I9">
        <f>H9-MAX(H$2:H9)</f>
        <v>0</v>
      </c>
      <c r="L9" s="2">
        <v>0</v>
      </c>
    </row>
    <row r="10" spans="1:12" x14ac:dyDescent="0.25">
      <c r="A10" s="1">
        <v>43924</v>
      </c>
      <c r="B10">
        <v>250.759994506835</v>
      </c>
      <c r="C10" t="s">
        <v>4</v>
      </c>
      <c r="D10" t="s">
        <v>4</v>
      </c>
      <c r="E10" t="str">
        <f t="shared" si="0"/>
        <v>Hold</v>
      </c>
      <c r="F10">
        <f t="shared" si="2"/>
        <v>0</v>
      </c>
      <c r="G10">
        <f t="shared" si="1"/>
        <v>0</v>
      </c>
      <c r="H10" s="12" cm="1">
        <f t="array" ref="H10">PRODUCT(1+G$2:G10)-1</f>
        <v>0</v>
      </c>
      <c r="I10">
        <f>H10-MAX(H$2:H10)</f>
        <v>0</v>
      </c>
      <c r="L10" s="2">
        <v>0</v>
      </c>
    </row>
    <row r="11" spans="1:12" x14ac:dyDescent="0.25">
      <c r="A11" s="1">
        <v>43927</v>
      </c>
      <c r="B11">
        <v>257.83999633789</v>
      </c>
      <c r="C11" t="s">
        <v>4</v>
      </c>
      <c r="D11" t="s">
        <v>4</v>
      </c>
      <c r="E11" t="str">
        <f t="shared" si="0"/>
        <v>Hold</v>
      </c>
      <c r="F11">
        <f t="shared" si="2"/>
        <v>0</v>
      </c>
      <c r="G11">
        <f t="shared" si="1"/>
        <v>0</v>
      </c>
      <c r="H11" s="12" cm="1">
        <f t="array" ref="H11">PRODUCT(1+G$2:G11)-1</f>
        <v>0</v>
      </c>
      <c r="I11">
        <f>H11-MAX(H$2:H11)</f>
        <v>0</v>
      </c>
      <c r="L11" s="2">
        <v>0</v>
      </c>
    </row>
    <row r="12" spans="1:12" x14ac:dyDescent="0.25">
      <c r="A12" s="1">
        <v>43928</v>
      </c>
      <c r="B12">
        <v>274.20999145507801</v>
      </c>
      <c r="C12" t="s">
        <v>4</v>
      </c>
      <c r="D12" t="s">
        <v>4</v>
      </c>
      <c r="E12" t="str">
        <f t="shared" si="0"/>
        <v>Hold</v>
      </c>
      <c r="F12">
        <f t="shared" si="2"/>
        <v>0</v>
      </c>
      <c r="G12">
        <f t="shared" si="1"/>
        <v>0</v>
      </c>
      <c r="H12" s="12" cm="1">
        <f t="array" ref="H12">PRODUCT(1+G$2:G12)-1</f>
        <v>0</v>
      </c>
      <c r="I12">
        <f>H12-MAX(H$2:H12)</f>
        <v>0</v>
      </c>
      <c r="L12" s="2">
        <v>0</v>
      </c>
    </row>
    <row r="13" spans="1:12" x14ac:dyDescent="0.25">
      <c r="A13" s="1">
        <v>43929</v>
      </c>
      <c r="B13">
        <v>267.95999145507801</v>
      </c>
      <c r="C13" t="s">
        <v>4</v>
      </c>
      <c r="D13" t="s">
        <v>4</v>
      </c>
      <c r="E13" t="str">
        <f t="shared" si="0"/>
        <v>Hold</v>
      </c>
      <c r="F13">
        <f t="shared" si="2"/>
        <v>0</v>
      </c>
      <c r="G13">
        <f t="shared" si="1"/>
        <v>0</v>
      </c>
      <c r="H13" s="12" cm="1">
        <f t="array" ref="H13">PRODUCT(1+G$2:G13)-1</f>
        <v>0</v>
      </c>
      <c r="I13">
        <f>H13-MAX(H$2:H13)</f>
        <v>0</v>
      </c>
      <c r="L13" s="2">
        <v>0</v>
      </c>
    </row>
    <row r="14" spans="1:12" x14ac:dyDescent="0.25">
      <c r="A14" s="1">
        <v>43930</v>
      </c>
      <c r="B14">
        <v>277.579986572265</v>
      </c>
      <c r="C14" t="s">
        <v>4</v>
      </c>
      <c r="D14" t="s">
        <v>4</v>
      </c>
      <c r="E14" t="str">
        <f t="shared" si="0"/>
        <v>Hold</v>
      </c>
      <c r="F14">
        <f t="shared" si="2"/>
        <v>0</v>
      </c>
      <c r="G14">
        <f t="shared" si="1"/>
        <v>0</v>
      </c>
      <c r="H14" s="12" cm="1">
        <f t="array" ref="H14">PRODUCT(1+G$2:G14)-1</f>
        <v>0</v>
      </c>
      <c r="I14">
        <f>H14-MAX(H$2:H14)</f>
        <v>0</v>
      </c>
      <c r="L14" s="2">
        <v>0</v>
      </c>
    </row>
    <row r="15" spans="1:12" x14ac:dyDescent="0.25">
      <c r="A15" s="1">
        <v>43934</v>
      </c>
      <c r="B15">
        <v>277.14001464843699</v>
      </c>
      <c r="C15" t="s">
        <v>4</v>
      </c>
      <c r="D15" t="s">
        <v>4</v>
      </c>
      <c r="E15" t="str">
        <f t="shared" si="0"/>
        <v>Hold</v>
      </c>
      <c r="F15">
        <f t="shared" si="2"/>
        <v>0</v>
      </c>
      <c r="G15">
        <f t="shared" si="1"/>
        <v>0</v>
      </c>
      <c r="H15" s="12" cm="1">
        <f t="array" ref="H15">PRODUCT(1+G$2:G15)-1</f>
        <v>0</v>
      </c>
      <c r="I15">
        <f>H15-MAX(H$2:H15)</f>
        <v>0</v>
      </c>
      <c r="L15" s="2">
        <v>0</v>
      </c>
    </row>
    <row r="16" spans="1:12" x14ac:dyDescent="0.25">
      <c r="A16" s="1">
        <v>43935</v>
      </c>
      <c r="B16">
        <v>280.98001098632801</v>
      </c>
      <c r="C16" t="s">
        <v>4</v>
      </c>
      <c r="D16" t="s">
        <v>4</v>
      </c>
      <c r="E16" t="str">
        <f t="shared" si="0"/>
        <v>Hold</v>
      </c>
      <c r="F16">
        <f t="shared" si="2"/>
        <v>0</v>
      </c>
      <c r="G16">
        <f t="shared" si="1"/>
        <v>0</v>
      </c>
      <c r="H16" s="12" cm="1">
        <f t="array" ref="H16">PRODUCT(1+G$2:G16)-1</f>
        <v>0</v>
      </c>
      <c r="I16">
        <f>H16-MAX(H$2:H16)</f>
        <v>0</v>
      </c>
      <c r="L16" s="2">
        <v>0</v>
      </c>
    </row>
    <row r="17" spans="1:12" x14ac:dyDescent="0.25">
      <c r="A17" s="1">
        <v>43936</v>
      </c>
      <c r="B17">
        <v>277.57000732421801</v>
      </c>
      <c r="C17" t="s">
        <v>4</v>
      </c>
      <c r="D17" t="s">
        <v>4</v>
      </c>
      <c r="E17" t="str">
        <f t="shared" si="0"/>
        <v>Hold</v>
      </c>
      <c r="F17">
        <f t="shared" si="2"/>
        <v>0</v>
      </c>
      <c r="G17">
        <f t="shared" si="1"/>
        <v>0</v>
      </c>
      <c r="H17" s="12" cm="1">
        <f t="array" ref="H17">PRODUCT(1+G$2:G17)-1</f>
        <v>0</v>
      </c>
      <c r="I17">
        <f>H17-MAX(H$2:H17)</f>
        <v>0</v>
      </c>
      <c r="L17" s="2">
        <v>0</v>
      </c>
    </row>
    <row r="18" spans="1:12" x14ac:dyDescent="0.25">
      <c r="A18" s="1">
        <v>43937</v>
      </c>
      <c r="B18">
        <v>279.14999389648398</v>
      </c>
      <c r="C18" t="s">
        <v>4</v>
      </c>
      <c r="D18" t="s">
        <v>4</v>
      </c>
      <c r="E18" t="str">
        <f t="shared" si="0"/>
        <v>Hold</v>
      </c>
      <c r="F18">
        <f t="shared" si="2"/>
        <v>0</v>
      </c>
      <c r="G18">
        <f t="shared" si="1"/>
        <v>0</v>
      </c>
      <c r="H18" s="12" cm="1">
        <f t="array" ref="H18">PRODUCT(1+G$2:G18)-1</f>
        <v>0</v>
      </c>
      <c r="I18">
        <f>H18-MAX(H$2:H18)</f>
        <v>0</v>
      </c>
      <c r="L18" s="2">
        <v>0</v>
      </c>
    </row>
    <row r="19" spans="1:12" x14ac:dyDescent="0.25">
      <c r="A19" s="1">
        <v>43938</v>
      </c>
      <c r="B19">
        <v>285.38000488281199</v>
      </c>
      <c r="C19" t="s">
        <v>4</v>
      </c>
      <c r="D19" t="s">
        <v>4</v>
      </c>
      <c r="E19" t="str">
        <f t="shared" si="0"/>
        <v>Hold</v>
      </c>
      <c r="F19">
        <f t="shared" si="2"/>
        <v>0</v>
      </c>
      <c r="G19">
        <f t="shared" si="1"/>
        <v>0</v>
      </c>
      <c r="H19" s="12" cm="1">
        <f t="array" ref="H19">PRODUCT(1+G$2:G19)-1</f>
        <v>0</v>
      </c>
      <c r="I19">
        <f>H19-MAX(H$2:H19)</f>
        <v>0</v>
      </c>
      <c r="L19" s="2">
        <v>0</v>
      </c>
    </row>
    <row r="20" spans="1:12" x14ac:dyDescent="0.25">
      <c r="A20" s="1">
        <v>43941</v>
      </c>
      <c r="B20">
        <v>282.60998535156199</v>
      </c>
      <c r="C20" t="s">
        <v>4</v>
      </c>
      <c r="D20" t="s">
        <v>4</v>
      </c>
      <c r="E20" t="s">
        <v>7</v>
      </c>
      <c r="F20">
        <f t="shared" si="2"/>
        <v>0</v>
      </c>
      <c r="G20">
        <f t="shared" si="1"/>
        <v>0</v>
      </c>
      <c r="H20" s="12" cm="1">
        <f t="array" ref="H20">PRODUCT(1+G$2:G20)-1</f>
        <v>0</v>
      </c>
      <c r="I20">
        <f>H20-MAX(H$2:H20)</f>
        <v>0</v>
      </c>
      <c r="L20" s="2">
        <v>0</v>
      </c>
    </row>
    <row r="21" spans="1:12" x14ac:dyDescent="0.25">
      <c r="A21" s="1">
        <v>43942</v>
      </c>
      <c r="B21">
        <v>276.73001098632801</v>
      </c>
      <c r="C21">
        <v>263.97099914550699</v>
      </c>
      <c r="D21" t="s">
        <v>4</v>
      </c>
      <c r="E21" t="str">
        <f t="shared" si="0"/>
        <v>Hold</v>
      </c>
      <c r="F21">
        <f t="shared" si="2"/>
        <v>0</v>
      </c>
      <c r="G21">
        <f t="shared" si="1"/>
        <v>0</v>
      </c>
      <c r="H21" s="12" cm="1">
        <f t="array" ref="H21">PRODUCT(1+G$2:G21)-1</f>
        <v>0</v>
      </c>
      <c r="I21">
        <f>H21-MAX(H$2:H21)</f>
        <v>0</v>
      </c>
      <c r="L21" s="2">
        <v>0</v>
      </c>
    </row>
    <row r="22" spans="1:12" x14ac:dyDescent="0.25">
      <c r="A22" s="1">
        <v>43943</v>
      </c>
      <c r="B22">
        <v>278.350006103515</v>
      </c>
      <c r="C22">
        <v>266.16749954223599</v>
      </c>
      <c r="D22" t="s">
        <v>4</v>
      </c>
      <c r="E22" t="str">
        <f t="shared" si="0"/>
        <v>Hold</v>
      </c>
      <c r="F22">
        <f t="shared" si="2"/>
        <v>0</v>
      </c>
      <c r="G22">
        <f t="shared" si="1"/>
        <v>0</v>
      </c>
      <c r="H22" s="12" cm="1">
        <f t="array" ref="H22">PRODUCT(1+G$2:G22)-1</f>
        <v>0</v>
      </c>
      <c r="I22">
        <f>H22-MAX(H$2:H22)</f>
        <v>0</v>
      </c>
      <c r="L22" s="2">
        <v>0</v>
      </c>
    </row>
    <row r="23" spans="1:12" x14ac:dyDescent="0.25">
      <c r="A23" s="1">
        <v>43944</v>
      </c>
      <c r="B23">
        <v>280.489990234375</v>
      </c>
      <c r="C23">
        <v>267.94849929809499</v>
      </c>
      <c r="D23" t="s">
        <v>4</v>
      </c>
      <c r="E23" t="str">
        <f t="shared" si="0"/>
        <v>Hold</v>
      </c>
      <c r="F23">
        <f t="shared" si="2"/>
        <v>0</v>
      </c>
      <c r="G23">
        <f t="shared" si="1"/>
        <v>0</v>
      </c>
      <c r="H23" s="12" cm="1">
        <f t="array" ref="H23">PRODUCT(1+G$2:G23)-1</f>
        <v>0</v>
      </c>
      <c r="I23">
        <f>H23-MAX(H$2:H23)</f>
        <v>0</v>
      </c>
      <c r="L23" s="2">
        <v>0</v>
      </c>
    </row>
    <row r="24" spans="1:12" x14ac:dyDescent="0.25">
      <c r="A24" s="1">
        <v>43945</v>
      </c>
      <c r="B24">
        <v>280.73001098632801</v>
      </c>
      <c r="C24">
        <v>269.50899963378902</v>
      </c>
      <c r="D24" t="s">
        <v>4</v>
      </c>
      <c r="E24" t="str">
        <f t="shared" si="0"/>
        <v>Hold</v>
      </c>
      <c r="F24">
        <f t="shared" si="2"/>
        <v>0</v>
      </c>
      <c r="G24">
        <f t="shared" si="1"/>
        <v>0</v>
      </c>
      <c r="H24" s="12" cm="1">
        <f t="array" ref="H24">PRODUCT(1+G$2:G24)-1</f>
        <v>0</v>
      </c>
      <c r="I24">
        <f>H24-MAX(H$2:H24)</f>
        <v>0</v>
      </c>
      <c r="L24" s="2">
        <v>0</v>
      </c>
    </row>
    <row r="25" spans="1:12" x14ac:dyDescent="0.25">
      <c r="A25" s="1">
        <v>43948</v>
      </c>
      <c r="B25">
        <v>285.11999511718699</v>
      </c>
      <c r="C25">
        <v>271.10149917602502</v>
      </c>
      <c r="D25" t="s">
        <v>4</v>
      </c>
      <c r="E25" t="str">
        <f t="shared" si="0"/>
        <v>Hold</v>
      </c>
      <c r="F25">
        <f t="shared" si="2"/>
        <v>0</v>
      </c>
      <c r="G25">
        <f t="shared" si="1"/>
        <v>0</v>
      </c>
      <c r="H25" s="12" cm="1">
        <f t="array" ref="H25">PRODUCT(1+G$2:G25)-1</f>
        <v>0</v>
      </c>
      <c r="I25">
        <f>H25-MAX(H$2:H25)</f>
        <v>0</v>
      </c>
      <c r="L25" s="2">
        <v>0</v>
      </c>
    </row>
    <row r="26" spans="1:12" x14ac:dyDescent="0.25">
      <c r="A26" s="1">
        <v>43949</v>
      </c>
      <c r="B26">
        <v>291.01998901367102</v>
      </c>
      <c r="C26">
        <v>272.867498779296</v>
      </c>
      <c r="D26" t="s">
        <v>4</v>
      </c>
      <c r="E26" t="str">
        <f t="shared" si="0"/>
        <v>Hold</v>
      </c>
      <c r="F26">
        <f t="shared" si="2"/>
        <v>0</v>
      </c>
      <c r="G26">
        <f t="shared" si="1"/>
        <v>0</v>
      </c>
      <c r="H26" s="12" cm="1">
        <f t="array" ref="H26">PRODUCT(1+G$2:G26)-1</f>
        <v>0</v>
      </c>
      <c r="I26">
        <f>H26-MAX(H$2:H26)</f>
        <v>0</v>
      </c>
      <c r="L26" s="2">
        <v>0</v>
      </c>
    </row>
    <row r="27" spans="1:12" x14ac:dyDescent="0.25">
      <c r="A27" s="1">
        <v>43950</v>
      </c>
      <c r="B27">
        <v>291.52999877929602</v>
      </c>
      <c r="C27">
        <v>274.41599884033201</v>
      </c>
      <c r="D27" t="s">
        <v>4</v>
      </c>
      <c r="E27" t="str">
        <f t="shared" si="0"/>
        <v>Hold</v>
      </c>
      <c r="F27">
        <f t="shared" si="2"/>
        <v>0</v>
      </c>
      <c r="G27">
        <f t="shared" si="1"/>
        <v>0</v>
      </c>
      <c r="H27" s="12" cm="1">
        <f t="array" ref="H27">PRODUCT(1+G$2:G27)-1</f>
        <v>0</v>
      </c>
      <c r="I27">
        <f>H27-MAX(H$2:H27)</f>
        <v>0</v>
      </c>
      <c r="L27" s="2">
        <v>0</v>
      </c>
    </row>
    <row r="28" spans="1:12" x14ac:dyDescent="0.25">
      <c r="A28" s="1">
        <v>43951</v>
      </c>
      <c r="B28">
        <v>291.70999145507801</v>
      </c>
      <c r="C28">
        <v>276.60249862670798</v>
      </c>
      <c r="D28" t="s">
        <v>4</v>
      </c>
      <c r="E28" t="str">
        <f t="shared" si="0"/>
        <v>Hold</v>
      </c>
      <c r="F28">
        <f t="shared" si="2"/>
        <v>0</v>
      </c>
      <c r="G28">
        <f t="shared" si="1"/>
        <v>0</v>
      </c>
      <c r="H28" s="12" cm="1">
        <f t="array" ref="H28">PRODUCT(1+G$2:G28)-1</f>
        <v>0</v>
      </c>
      <c r="I28">
        <f>H28-MAX(H$2:H28)</f>
        <v>0</v>
      </c>
      <c r="L28" s="2">
        <v>0</v>
      </c>
    </row>
    <row r="29" spans="1:12" x14ac:dyDescent="0.25">
      <c r="A29" s="1">
        <v>43952</v>
      </c>
      <c r="B29">
        <v>285.30999755859301</v>
      </c>
      <c r="C29">
        <v>278.60849838256797</v>
      </c>
      <c r="D29" t="s">
        <v>4</v>
      </c>
      <c r="E29" t="str">
        <f t="shared" si="0"/>
        <v>Hold</v>
      </c>
      <c r="F29">
        <f t="shared" si="2"/>
        <v>0</v>
      </c>
      <c r="G29">
        <f t="shared" si="1"/>
        <v>0</v>
      </c>
      <c r="H29" s="12" cm="1">
        <f t="array" ref="H29">PRODUCT(1+G$2:G29)-1</f>
        <v>0</v>
      </c>
      <c r="I29">
        <f>H29-MAX(H$2:H29)</f>
        <v>0</v>
      </c>
      <c r="L29" s="2">
        <v>0</v>
      </c>
    </row>
    <row r="30" spans="1:12" x14ac:dyDescent="0.25">
      <c r="A30" s="1">
        <v>43955</v>
      </c>
      <c r="B30">
        <v>280.739990234375</v>
      </c>
      <c r="C30">
        <v>280.10749816894503</v>
      </c>
      <c r="D30" t="s">
        <v>4</v>
      </c>
      <c r="E30" t="str">
        <f t="shared" si="0"/>
        <v>Hold</v>
      </c>
      <c r="F30">
        <f t="shared" si="2"/>
        <v>0</v>
      </c>
      <c r="G30">
        <f t="shared" si="1"/>
        <v>0</v>
      </c>
      <c r="H30" s="12" cm="1">
        <f t="array" ref="H30">PRODUCT(1+G$2:G30)-1</f>
        <v>0</v>
      </c>
      <c r="I30">
        <f>H30-MAX(H$2:H30)</f>
        <v>0</v>
      </c>
      <c r="L30" s="2">
        <v>0</v>
      </c>
    </row>
    <row r="31" spans="1:12" x14ac:dyDescent="0.25">
      <c r="A31" s="1">
        <v>43956</v>
      </c>
      <c r="B31">
        <v>286.64001464843699</v>
      </c>
      <c r="C31">
        <v>281.54749908447201</v>
      </c>
      <c r="D31" t="s">
        <v>4</v>
      </c>
      <c r="E31" t="str">
        <f t="shared" si="0"/>
        <v>Hold</v>
      </c>
      <c r="F31">
        <f t="shared" si="2"/>
        <v>0</v>
      </c>
      <c r="G31">
        <f t="shared" si="1"/>
        <v>0</v>
      </c>
      <c r="H31" s="12" cm="1">
        <f t="array" ref="H31">PRODUCT(1+G$2:G31)-1</f>
        <v>0</v>
      </c>
      <c r="I31">
        <f>H31-MAX(H$2:H31)</f>
        <v>0</v>
      </c>
      <c r="L31" s="2">
        <v>0</v>
      </c>
    </row>
    <row r="32" spans="1:12" x14ac:dyDescent="0.25">
      <c r="A32" s="1">
        <v>43957</v>
      </c>
      <c r="B32">
        <v>288.04000854492102</v>
      </c>
      <c r="C32">
        <v>282.23899993896401</v>
      </c>
      <c r="D32" t="s">
        <v>4</v>
      </c>
      <c r="E32" t="str">
        <f t="shared" si="0"/>
        <v>Hold</v>
      </c>
      <c r="F32">
        <f t="shared" si="2"/>
        <v>0</v>
      </c>
      <c r="G32">
        <f t="shared" si="1"/>
        <v>0</v>
      </c>
      <c r="H32" s="12" cm="1">
        <f t="array" ref="H32">PRODUCT(1+G$2:G32)-1</f>
        <v>0</v>
      </c>
      <c r="I32">
        <f>H32-MAX(H$2:H32)</f>
        <v>0</v>
      </c>
      <c r="L32" s="2">
        <v>0</v>
      </c>
    </row>
    <row r="33" spans="1:12" x14ac:dyDescent="0.25">
      <c r="A33" s="1">
        <v>43958</v>
      </c>
      <c r="B33">
        <v>287.75</v>
      </c>
      <c r="C33">
        <v>283.22850036621003</v>
      </c>
      <c r="D33" t="s">
        <v>4</v>
      </c>
      <c r="E33" t="str">
        <f t="shared" si="0"/>
        <v>Hold</v>
      </c>
      <c r="F33">
        <f t="shared" si="2"/>
        <v>0</v>
      </c>
      <c r="G33">
        <f t="shared" si="1"/>
        <v>0</v>
      </c>
      <c r="H33" s="12" cm="1">
        <f t="array" ref="H33">PRODUCT(1+G$2:G33)-1</f>
        <v>0</v>
      </c>
      <c r="I33">
        <f>H33-MAX(H$2:H33)</f>
        <v>0</v>
      </c>
      <c r="L33" s="2">
        <v>0</v>
      </c>
    </row>
    <row r="34" spans="1:12" x14ac:dyDescent="0.25">
      <c r="A34" s="1">
        <v>43959</v>
      </c>
      <c r="B34">
        <v>291.08999633789</v>
      </c>
      <c r="C34">
        <v>283.90400085449198</v>
      </c>
      <c r="D34" t="s">
        <v>4</v>
      </c>
      <c r="E34" t="str">
        <f t="shared" si="0"/>
        <v>Hold</v>
      </c>
      <c r="F34">
        <f t="shared" si="2"/>
        <v>0</v>
      </c>
      <c r="G34">
        <f t="shared" si="1"/>
        <v>0</v>
      </c>
      <c r="H34" s="12" cm="1">
        <f t="array" ref="H34">PRODUCT(1+G$2:G34)-1</f>
        <v>0</v>
      </c>
      <c r="I34">
        <f>H34-MAX(H$2:H34)</f>
        <v>0</v>
      </c>
      <c r="L34" s="2">
        <v>0</v>
      </c>
    </row>
    <row r="35" spans="1:12" x14ac:dyDescent="0.25">
      <c r="A35" s="1">
        <v>43962</v>
      </c>
      <c r="B35">
        <v>290.33999633789</v>
      </c>
      <c r="C35">
        <v>284.563999938964</v>
      </c>
      <c r="D35" t="s">
        <v>4</v>
      </c>
      <c r="E35" t="str">
        <f t="shared" si="0"/>
        <v>Hold</v>
      </c>
      <c r="F35">
        <f t="shared" si="2"/>
        <v>0</v>
      </c>
      <c r="G35">
        <f t="shared" si="1"/>
        <v>0</v>
      </c>
      <c r="H35" s="12" cm="1">
        <f t="array" ref="H35">PRODUCT(1+G$2:G35)-1</f>
        <v>0</v>
      </c>
      <c r="I35">
        <f>H35-MAX(H$2:H35)</f>
        <v>0</v>
      </c>
      <c r="L35" s="2">
        <v>0</v>
      </c>
    </row>
    <row r="36" spans="1:12" x14ac:dyDescent="0.25">
      <c r="A36" s="1">
        <v>43963</v>
      </c>
      <c r="B36">
        <v>293.79000854492102</v>
      </c>
      <c r="C36">
        <v>285.20449981689399</v>
      </c>
      <c r="D36" t="s">
        <v>4</v>
      </c>
      <c r="E36" t="str">
        <f t="shared" si="0"/>
        <v>Hold</v>
      </c>
      <c r="F36">
        <f t="shared" si="2"/>
        <v>0</v>
      </c>
      <c r="G36">
        <f t="shared" si="1"/>
        <v>0</v>
      </c>
      <c r="H36" s="12" cm="1">
        <f t="array" ref="H36">PRODUCT(1+G$2:G36)-1</f>
        <v>0</v>
      </c>
      <c r="I36">
        <f>H36-MAX(H$2:H36)</f>
        <v>0</v>
      </c>
      <c r="L36" s="2">
        <v>0</v>
      </c>
    </row>
    <row r="37" spans="1:12" x14ac:dyDescent="0.25">
      <c r="A37" s="1">
        <v>43964</v>
      </c>
      <c r="B37">
        <v>286.05999755859301</v>
      </c>
      <c r="C37">
        <v>285.62899932861302</v>
      </c>
      <c r="D37" t="s">
        <v>4</v>
      </c>
      <c r="E37" t="s">
        <v>7</v>
      </c>
      <c r="F37">
        <f t="shared" si="2"/>
        <v>0</v>
      </c>
      <c r="G37">
        <f t="shared" si="1"/>
        <v>0</v>
      </c>
      <c r="H37" s="12" cm="1">
        <f t="array" ref="H37">PRODUCT(1+G$2:G37)-1</f>
        <v>0</v>
      </c>
      <c r="I37">
        <f>H37-MAX(H$2:H37)</f>
        <v>0</v>
      </c>
      <c r="L37" s="2">
        <v>0</v>
      </c>
    </row>
    <row r="38" spans="1:12" x14ac:dyDescent="0.25">
      <c r="A38" s="1">
        <v>43965</v>
      </c>
      <c r="B38">
        <v>278.95001220703102</v>
      </c>
      <c r="C38">
        <v>285.61900024414001</v>
      </c>
      <c r="D38" t="s">
        <v>4</v>
      </c>
      <c r="E38" t="s">
        <v>7</v>
      </c>
      <c r="F38">
        <f t="shared" si="2"/>
        <v>0</v>
      </c>
      <c r="G38">
        <f t="shared" si="1"/>
        <v>0</v>
      </c>
      <c r="H38" s="12" cm="1">
        <f t="array" ref="H38">PRODUCT(1+G$2:G38)-1</f>
        <v>0</v>
      </c>
      <c r="I38">
        <f>H38-MAX(H$2:H38)</f>
        <v>0</v>
      </c>
      <c r="L38" s="2">
        <v>0</v>
      </c>
    </row>
    <row r="39" spans="1:12" x14ac:dyDescent="0.25">
      <c r="A39" s="1">
        <v>43966</v>
      </c>
      <c r="B39">
        <v>282.36999511718699</v>
      </c>
      <c r="C39">
        <v>285.468499755859</v>
      </c>
      <c r="D39" t="s">
        <v>4</v>
      </c>
      <c r="E39" t="str">
        <f t="shared" si="0"/>
        <v>Hold</v>
      </c>
      <c r="F39">
        <f t="shared" si="2"/>
        <v>0</v>
      </c>
      <c r="G39">
        <f t="shared" si="1"/>
        <v>0</v>
      </c>
      <c r="H39" s="12" cm="1">
        <f t="array" ref="H39">PRODUCT(1+G$2:G39)-1</f>
        <v>0</v>
      </c>
      <c r="I39">
        <f>H39-MAX(H$2:H39)</f>
        <v>0</v>
      </c>
      <c r="L39" s="2">
        <v>0</v>
      </c>
    </row>
    <row r="40" spans="1:12" x14ac:dyDescent="0.25">
      <c r="A40" s="1">
        <v>43969</v>
      </c>
      <c r="B40">
        <v>293.04998779296801</v>
      </c>
      <c r="C40">
        <v>285.99049987792898</v>
      </c>
      <c r="D40" t="s">
        <v>4</v>
      </c>
      <c r="E40" t="str">
        <f t="shared" si="0"/>
        <v>Hold</v>
      </c>
      <c r="F40">
        <f t="shared" si="2"/>
        <v>0</v>
      </c>
      <c r="G40">
        <f t="shared" si="1"/>
        <v>0</v>
      </c>
      <c r="H40" s="12" cm="1">
        <f t="array" ref="H40">PRODUCT(1+G$2:G40)-1</f>
        <v>0</v>
      </c>
      <c r="I40">
        <f>H40-MAX(H$2:H40)</f>
        <v>0</v>
      </c>
      <c r="L40" s="2">
        <v>0</v>
      </c>
    </row>
    <row r="41" spans="1:12" x14ac:dyDescent="0.25">
      <c r="A41" s="1">
        <v>43970</v>
      </c>
      <c r="B41">
        <v>294.350006103515</v>
      </c>
      <c r="C41">
        <v>286.87149963378903</v>
      </c>
      <c r="D41" t="s">
        <v>4</v>
      </c>
      <c r="E41" t="str">
        <f t="shared" si="0"/>
        <v>Hold</v>
      </c>
      <c r="F41">
        <f t="shared" si="2"/>
        <v>0</v>
      </c>
      <c r="G41">
        <f t="shared" si="1"/>
        <v>0</v>
      </c>
      <c r="H41" s="12" cm="1">
        <f t="array" ref="H41">PRODUCT(1+G$2:G41)-1</f>
        <v>0</v>
      </c>
      <c r="I41">
        <f>H41-MAX(H$2:H41)</f>
        <v>0</v>
      </c>
      <c r="L41" s="2">
        <v>0</v>
      </c>
    </row>
    <row r="42" spans="1:12" x14ac:dyDescent="0.25">
      <c r="A42" s="1">
        <v>43971</v>
      </c>
      <c r="B42">
        <v>295.82000732421801</v>
      </c>
      <c r="C42">
        <v>287.744999694824</v>
      </c>
      <c r="D42" t="s">
        <v>4</v>
      </c>
      <c r="E42" t="str">
        <f t="shared" si="0"/>
        <v>Hold</v>
      </c>
      <c r="F42">
        <f t="shared" si="2"/>
        <v>0</v>
      </c>
      <c r="G42">
        <f t="shared" si="1"/>
        <v>0</v>
      </c>
      <c r="H42" s="12" cm="1">
        <f t="array" ref="H42">PRODUCT(1+G$2:G42)-1</f>
        <v>0</v>
      </c>
      <c r="I42">
        <f>H42-MAX(H$2:H42)</f>
        <v>0</v>
      </c>
      <c r="L42" s="2">
        <v>0</v>
      </c>
    </row>
    <row r="43" spans="1:12" x14ac:dyDescent="0.25">
      <c r="A43" s="1">
        <v>43972</v>
      </c>
      <c r="B43">
        <v>296.79000854492102</v>
      </c>
      <c r="C43">
        <v>288.56000061035098</v>
      </c>
      <c r="D43" t="s">
        <v>4</v>
      </c>
      <c r="E43" t="str">
        <f t="shared" si="0"/>
        <v>Hold</v>
      </c>
      <c r="F43">
        <f t="shared" si="2"/>
        <v>0</v>
      </c>
      <c r="G43">
        <f t="shared" si="1"/>
        <v>0</v>
      </c>
      <c r="H43" s="12" cm="1">
        <f t="array" ref="H43">PRODUCT(1+G$2:G43)-1</f>
        <v>0</v>
      </c>
      <c r="I43">
        <f>H43-MAX(H$2:H43)</f>
        <v>0</v>
      </c>
      <c r="L43" s="2">
        <v>0</v>
      </c>
    </row>
    <row r="44" spans="1:12" x14ac:dyDescent="0.25">
      <c r="A44" s="1">
        <v>43973</v>
      </c>
      <c r="B44">
        <v>294.57000732421801</v>
      </c>
      <c r="C44">
        <v>289.252000427246</v>
      </c>
      <c r="D44" t="s">
        <v>4</v>
      </c>
      <c r="E44" t="str">
        <f t="shared" si="0"/>
        <v>Hold</v>
      </c>
      <c r="F44">
        <f t="shared" si="2"/>
        <v>0</v>
      </c>
      <c r="G44">
        <f t="shared" si="1"/>
        <v>0</v>
      </c>
      <c r="H44" s="12" cm="1">
        <f t="array" ref="H44">PRODUCT(1+G$2:G44)-1</f>
        <v>0</v>
      </c>
      <c r="I44">
        <f>H44-MAX(H$2:H44)</f>
        <v>0</v>
      </c>
      <c r="L44" s="2">
        <v>0</v>
      </c>
    </row>
    <row r="45" spans="1:12" x14ac:dyDescent="0.25">
      <c r="A45" s="1">
        <v>43977</v>
      </c>
      <c r="B45">
        <v>301.92999267578102</v>
      </c>
      <c r="C45">
        <v>290.09250030517501</v>
      </c>
      <c r="D45" t="s">
        <v>4</v>
      </c>
      <c r="E45" t="str">
        <f t="shared" si="0"/>
        <v>Hold</v>
      </c>
      <c r="F45">
        <f t="shared" si="2"/>
        <v>0</v>
      </c>
      <c r="G45">
        <f t="shared" si="1"/>
        <v>0</v>
      </c>
      <c r="H45" s="12" cm="1">
        <f t="array" ref="H45">PRODUCT(1+G$2:G45)-1</f>
        <v>0</v>
      </c>
      <c r="I45">
        <f>H45-MAX(H$2:H45)</f>
        <v>0</v>
      </c>
      <c r="L45" s="2">
        <v>0</v>
      </c>
    </row>
    <row r="46" spans="1:12" x14ac:dyDescent="0.25">
      <c r="A46" s="1">
        <v>43978</v>
      </c>
      <c r="B46">
        <v>302.11999511718699</v>
      </c>
      <c r="C46">
        <v>290.64750061035102</v>
      </c>
      <c r="D46" t="s">
        <v>4</v>
      </c>
      <c r="E46" t="str">
        <f t="shared" si="0"/>
        <v>Hold</v>
      </c>
      <c r="F46">
        <f t="shared" si="2"/>
        <v>0</v>
      </c>
      <c r="G46">
        <f t="shared" si="1"/>
        <v>0</v>
      </c>
      <c r="H46" s="12" cm="1">
        <f t="array" ref="H46">PRODUCT(1+G$2:G46)-1</f>
        <v>0</v>
      </c>
      <c r="I46">
        <f>H46-MAX(H$2:H46)</f>
        <v>0</v>
      </c>
      <c r="L46" s="2">
        <v>0</v>
      </c>
    </row>
    <row r="47" spans="1:12" x14ac:dyDescent="0.25">
      <c r="A47" s="1">
        <v>43979</v>
      </c>
      <c r="B47">
        <v>304.64999389648398</v>
      </c>
      <c r="C47">
        <v>291.30350036621002</v>
      </c>
      <c r="D47" t="s">
        <v>4</v>
      </c>
      <c r="E47" t="str">
        <f t="shared" si="0"/>
        <v>Hold</v>
      </c>
      <c r="F47">
        <f t="shared" si="2"/>
        <v>0</v>
      </c>
      <c r="G47">
        <f t="shared" si="1"/>
        <v>0</v>
      </c>
      <c r="H47" s="12" cm="1">
        <f t="array" ref="H47">PRODUCT(1+G$2:G47)-1</f>
        <v>0</v>
      </c>
      <c r="I47">
        <f>H47-MAX(H$2:H47)</f>
        <v>0</v>
      </c>
      <c r="L47" s="2">
        <v>0</v>
      </c>
    </row>
    <row r="48" spans="1:12" x14ac:dyDescent="0.25">
      <c r="A48" s="1">
        <v>43980</v>
      </c>
      <c r="B48">
        <v>302.45999145507801</v>
      </c>
      <c r="C48">
        <v>291.84100036620998</v>
      </c>
      <c r="D48" t="s">
        <v>4</v>
      </c>
      <c r="E48" t="str">
        <f t="shared" si="0"/>
        <v>Hold</v>
      </c>
      <c r="F48">
        <f t="shared" si="2"/>
        <v>0</v>
      </c>
      <c r="G48">
        <f t="shared" si="1"/>
        <v>0</v>
      </c>
      <c r="H48" s="12" cm="1">
        <f t="array" ref="H48">PRODUCT(1+G$2:G48)-1</f>
        <v>0</v>
      </c>
      <c r="I48">
        <f>H48-MAX(H$2:H48)</f>
        <v>0</v>
      </c>
      <c r="L48" s="2">
        <v>0</v>
      </c>
    </row>
    <row r="49" spans="1:12" x14ac:dyDescent="0.25">
      <c r="A49" s="1">
        <v>43983</v>
      </c>
      <c r="B49">
        <v>303.61999511718699</v>
      </c>
      <c r="C49">
        <v>292.75650024414</v>
      </c>
      <c r="D49" t="s">
        <v>4</v>
      </c>
      <c r="E49" t="str">
        <f t="shared" si="0"/>
        <v>Hold</v>
      </c>
      <c r="F49">
        <f t="shared" si="2"/>
        <v>0</v>
      </c>
      <c r="G49">
        <f t="shared" si="1"/>
        <v>0</v>
      </c>
      <c r="H49" s="12" cm="1">
        <f t="array" ref="H49">PRODUCT(1+G$2:G49)-1</f>
        <v>0</v>
      </c>
      <c r="I49">
        <f>H49-MAX(H$2:H49)</f>
        <v>0</v>
      </c>
      <c r="L49" s="2">
        <v>0</v>
      </c>
    </row>
    <row r="50" spans="1:12" x14ac:dyDescent="0.25">
      <c r="A50" s="1">
        <v>43984</v>
      </c>
      <c r="B50">
        <v>306.54998779296801</v>
      </c>
      <c r="C50">
        <v>294.04700012207002</v>
      </c>
      <c r="D50" t="s">
        <v>4</v>
      </c>
      <c r="E50" t="s">
        <v>7</v>
      </c>
      <c r="F50">
        <f t="shared" si="2"/>
        <v>0</v>
      </c>
      <c r="G50">
        <f t="shared" si="1"/>
        <v>0</v>
      </c>
      <c r="H50" s="12" cm="1">
        <f t="array" ref="H50">PRODUCT(1+G$2:G50)-1</f>
        <v>0</v>
      </c>
      <c r="I50">
        <f>H50-MAX(H$2:H50)</f>
        <v>0</v>
      </c>
      <c r="L50" s="2">
        <v>0</v>
      </c>
    </row>
    <row r="51" spans="1:12" x14ac:dyDescent="0.25">
      <c r="A51" s="1">
        <v>43985</v>
      </c>
      <c r="B51">
        <v>310.239990234375</v>
      </c>
      <c r="C51">
        <v>295.22699890136698</v>
      </c>
      <c r="D51">
        <v>280.711998901367</v>
      </c>
      <c r="E51" t="str">
        <f t="shared" si="0"/>
        <v>Sell</v>
      </c>
      <c r="F51">
        <f t="shared" si="2"/>
        <v>0</v>
      </c>
      <c r="G51">
        <f t="shared" si="1"/>
        <v>0</v>
      </c>
      <c r="H51" s="12" cm="1">
        <f t="array" ref="H51">PRODUCT(1+G$2:G51)-1</f>
        <v>0</v>
      </c>
      <c r="I51">
        <f>H51-MAX(H$2:H51)</f>
        <v>0</v>
      </c>
      <c r="L51" s="2">
        <v>0</v>
      </c>
    </row>
    <row r="52" spans="1:12" x14ac:dyDescent="0.25">
      <c r="A52" s="1">
        <v>43986</v>
      </c>
      <c r="B52">
        <v>311.10998535156199</v>
      </c>
      <c r="C52">
        <v>296.380497741699</v>
      </c>
      <c r="D52">
        <v>282.24579864501902</v>
      </c>
      <c r="E52" t="str">
        <f t="shared" si="0"/>
        <v>Sell</v>
      </c>
      <c r="F52">
        <f t="shared" si="2"/>
        <v>0</v>
      </c>
      <c r="G52">
        <f t="shared" si="1"/>
        <v>0</v>
      </c>
      <c r="H52" s="12" cm="1">
        <f t="array" ref="H52">PRODUCT(1+G$2:G52)-1</f>
        <v>0</v>
      </c>
      <c r="I52">
        <f>H52-MAX(H$2:H52)</f>
        <v>0</v>
      </c>
      <c r="L52" s="2">
        <v>0</v>
      </c>
    </row>
    <row r="53" spans="1:12" x14ac:dyDescent="0.25">
      <c r="A53" s="1">
        <v>43987</v>
      </c>
      <c r="B53">
        <v>317.23001098632801</v>
      </c>
      <c r="C53">
        <v>297.85449829101498</v>
      </c>
      <c r="D53">
        <v>283.69299896240199</v>
      </c>
      <c r="E53" t="str">
        <f t="shared" si="0"/>
        <v>Sell</v>
      </c>
      <c r="F53">
        <f t="shared" si="2"/>
        <v>0</v>
      </c>
      <c r="G53">
        <f t="shared" si="1"/>
        <v>0</v>
      </c>
      <c r="H53" s="12" cm="1">
        <f t="array" ref="H53">PRODUCT(1+G$2:G53)-1</f>
        <v>0</v>
      </c>
      <c r="I53">
        <f>H53-MAX(H$2:H53)</f>
        <v>0</v>
      </c>
      <c r="L53" s="2">
        <v>0</v>
      </c>
    </row>
    <row r="54" spans="1:12" x14ac:dyDescent="0.25">
      <c r="A54" s="1">
        <v>43990</v>
      </c>
      <c r="B54">
        <v>320.22000122070301</v>
      </c>
      <c r="C54">
        <v>299.31099853515599</v>
      </c>
      <c r="D54">
        <v>285.10699890136698</v>
      </c>
      <c r="E54" t="str">
        <f t="shared" si="0"/>
        <v>Sell</v>
      </c>
      <c r="F54">
        <f t="shared" si="2"/>
        <v>0</v>
      </c>
      <c r="G54">
        <f t="shared" si="1"/>
        <v>0</v>
      </c>
      <c r="H54" s="12" cm="1">
        <f t="array" ref="H54">PRODUCT(1+G$2:G54)-1</f>
        <v>0</v>
      </c>
      <c r="I54">
        <f>H54-MAX(H$2:H54)</f>
        <v>0</v>
      </c>
      <c r="L54" s="2">
        <v>0</v>
      </c>
    </row>
    <row r="55" spans="1:12" x14ac:dyDescent="0.25">
      <c r="A55" s="1">
        <v>43991</v>
      </c>
      <c r="B55">
        <v>320.29998779296801</v>
      </c>
      <c r="C55">
        <v>300.80899810790999</v>
      </c>
      <c r="D55">
        <v>286.44759857177701</v>
      </c>
      <c r="E55" t="str">
        <f t="shared" si="0"/>
        <v>Sell</v>
      </c>
      <c r="F55">
        <f t="shared" si="2"/>
        <v>0</v>
      </c>
      <c r="G55">
        <f t="shared" si="1"/>
        <v>0</v>
      </c>
      <c r="H55" s="12" cm="1">
        <f t="array" ref="H55">PRODUCT(1+G$2:G55)-1</f>
        <v>0</v>
      </c>
      <c r="I55">
        <f>H55-MAX(H$2:H55)</f>
        <v>0</v>
      </c>
      <c r="L55" s="2">
        <v>0</v>
      </c>
    </row>
    <row r="56" spans="1:12" x14ac:dyDescent="0.25">
      <c r="A56" s="1">
        <v>43992</v>
      </c>
      <c r="B56">
        <v>321.42001342773398</v>
      </c>
      <c r="C56">
        <v>302.19049835204999</v>
      </c>
      <c r="D56">
        <v>287.76199890136701</v>
      </c>
      <c r="E56" t="str">
        <f t="shared" si="0"/>
        <v>Sell</v>
      </c>
      <c r="F56">
        <f t="shared" si="2"/>
        <v>0</v>
      </c>
      <c r="G56">
        <f t="shared" si="1"/>
        <v>0</v>
      </c>
      <c r="H56" s="12" cm="1">
        <f t="array" ref="H56">PRODUCT(1+G$2:G56)-1</f>
        <v>0</v>
      </c>
      <c r="I56">
        <f>H56-MAX(H$2:H56)</f>
        <v>0</v>
      </c>
      <c r="L56" s="2">
        <v>0</v>
      </c>
    </row>
    <row r="57" spans="1:12" x14ac:dyDescent="0.25">
      <c r="A57" s="1">
        <v>43993</v>
      </c>
      <c r="B57">
        <v>311.45999145507801</v>
      </c>
      <c r="C57">
        <v>303.46049804687402</v>
      </c>
      <c r="D57">
        <v>288.77999877929602</v>
      </c>
      <c r="E57" t="str">
        <f t="shared" si="0"/>
        <v>Sell</v>
      </c>
      <c r="F57">
        <f t="shared" si="2"/>
        <v>0</v>
      </c>
      <c r="G57">
        <f t="shared" si="1"/>
        <v>0</v>
      </c>
      <c r="H57" s="12" cm="1">
        <f t="array" ref="H57">PRODUCT(1+G$2:G57)-1</f>
        <v>0</v>
      </c>
      <c r="I57">
        <f>H57-MAX(H$2:H57)</f>
        <v>0</v>
      </c>
      <c r="L57" s="2">
        <v>0</v>
      </c>
    </row>
    <row r="58" spans="1:12" x14ac:dyDescent="0.25">
      <c r="A58" s="1">
        <v>43994</v>
      </c>
      <c r="B58">
        <v>308.239990234375</v>
      </c>
      <c r="C58">
        <v>304.92499694824198</v>
      </c>
      <c r="D58">
        <v>289.98519866943298</v>
      </c>
      <c r="E58" t="str">
        <f t="shared" si="0"/>
        <v>Sell</v>
      </c>
      <c r="F58">
        <f t="shared" si="2"/>
        <v>0</v>
      </c>
      <c r="G58">
        <f t="shared" si="1"/>
        <v>0</v>
      </c>
      <c r="H58" s="12" cm="1">
        <f t="array" ref="H58">PRODUCT(1+G$2:G58)-1</f>
        <v>0</v>
      </c>
      <c r="I58">
        <f>H58-MAX(H$2:H58)</f>
        <v>0</v>
      </c>
      <c r="L58" s="2">
        <v>0</v>
      </c>
    </row>
    <row r="59" spans="1:12" x14ac:dyDescent="0.25">
      <c r="A59" s="1">
        <v>43997</v>
      </c>
      <c r="B59">
        <v>298.01998901367102</v>
      </c>
      <c r="C59">
        <v>305.70749664306601</v>
      </c>
      <c r="D59">
        <v>291.04179840087801</v>
      </c>
      <c r="E59" t="str">
        <f t="shared" si="0"/>
        <v>Sell</v>
      </c>
      <c r="F59">
        <f t="shared" si="2"/>
        <v>0</v>
      </c>
      <c r="G59">
        <f t="shared" si="1"/>
        <v>0</v>
      </c>
      <c r="H59" s="12" cm="1">
        <f t="array" ref="H59">PRODUCT(1+G$2:G59)-1</f>
        <v>0</v>
      </c>
      <c r="I59">
        <f>H59-MAX(H$2:H59)</f>
        <v>0</v>
      </c>
      <c r="L59" s="2">
        <v>0</v>
      </c>
    </row>
    <row r="60" spans="1:12" x14ac:dyDescent="0.25">
      <c r="A60" s="1">
        <v>43998</v>
      </c>
      <c r="B60">
        <v>315.48001098632801</v>
      </c>
      <c r="C60">
        <v>306.82899780273402</v>
      </c>
      <c r="D60">
        <v>292.33619873046803</v>
      </c>
      <c r="E60" t="str">
        <f t="shared" si="0"/>
        <v>Sell</v>
      </c>
      <c r="F60">
        <f t="shared" si="2"/>
        <v>0</v>
      </c>
      <c r="G60">
        <f t="shared" si="1"/>
        <v>0</v>
      </c>
      <c r="H60" s="12" cm="1">
        <f t="array" ref="H60">PRODUCT(1+G$2:G60)-1</f>
        <v>0</v>
      </c>
      <c r="I60">
        <f>H60-MAX(H$2:H60)</f>
        <v>0</v>
      </c>
      <c r="L60" s="2">
        <v>0</v>
      </c>
    </row>
    <row r="61" spans="1:12" x14ac:dyDescent="0.25">
      <c r="A61" s="1">
        <v>43999</v>
      </c>
      <c r="B61">
        <v>314.07000732421801</v>
      </c>
      <c r="C61">
        <v>307.81499786376901</v>
      </c>
      <c r="D61">
        <v>293.460798950195</v>
      </c>
      <c r="E61" t="str">
        <f t="shared" si="0"/>
        <v>Sell</v>
      </c>
      <c r="F61">
        <f t="shared" si="2"/>
        <v>0</v>
      </c>
      <c r="G61">
        <f t="shared" si="1"/>
        <v>0</v>
      </c>
      <c r="H61" s="12" cm="1">
        <f t="array" ref="H61">PRODUCT(1+G$2:G61)-1</f>
        <v>0</v>
      </c>
      <c r="I61">
        <f>H61-MAX(H$2:H61)</f>
        <v>0</v>
      </c>
      <c r="L61" s="2">
        <v>0</v>
      </c>
    </row>
    <row r="62" spans="1:12" x14ac:dyDescent="0.25">
      <c r="A62" s="1">
        <v>44000</v>
      </c>
      <c r="B62">
        <v>310.010009765625</v>
      </c>
      <c r="C62">
        <v>308.52449798583899</v>
      </c>
      <c r="D62">
        <v>294.176799316406</v>
      </c>
      <c r="E62" t="str">
        <f t="shared" si="0"/>
        <v>Sell</v>
      </c>
      <c r="F62">
        <f t="shared" si="2"/>
        <v>0</v>
      </c>
      <c r="G62">
        <f t="shared" si="1"/>
        <v>0</v>
      </c>
      <c r="H62" s="12" cm="1">
        <f t="array" ref="H62">PRODUCT(1+G$2:G62)-1</f>
        <v>0</v>
      </c>
      <c r="I62">
        <f>H62-MAX(H$2:H62)</f>
        <v>0</v>
      </c>
      <c r="L62" s="2">
        <v>0</v>
      </c>
    </row>
    <row r="63" spans="1:12" x14ac:dyDescent="0.25">
      <c r="A63" s="1">
        <v>44001</v>
      </c>
      <c r="B63">
        <v>314.17001342773398</v>
      </c>
      <c r="C63">
        <v>309.39349822998003</v>
      </c>
      <c r="D63">
        <v>295.10099975585899</v>
      </c>
      <c r="E63" t="str">
        <f t="shared" si="0"/>
        <v>Sell</v>
      </c>
      <c r="F63">
        <f t="shared" si="2"/>
        <v>0</v>
      </c>
      <c r="G63">
        <f t="shared" si="1"/>
        <v>0</v>
      </c>
      <c r="H63" s="12" cm="1">
        <f t="array" ref="H63">PRODUCT(1+G$2:G63)-1</f>
        <v>0</v>
      </c>
      <c r="I63">
        <f>H63-MAX(H$2:H63)</f>
        <v>0</v>
      </c>
      <c r="L63" s="2">
        <v>0</v>
      </c>
    </row>
    <row r="64" spans="1:12" x14ac:dyDescent="0.25">
      <c r="A64" s="1">
        <v>44004</v>
      </c>
      <c r="B64">
        <v>307.989990234375</v>
      </c>
      <c r="C64">
        <v>310.06449737548797</v>
      </c>
      <c r="D64">
        <v>295.70919982910101</v>
      </c>
      <c r="E64" t="str">
        <f t="shared" si="0"/>
        <v>Sell</v>
      </c>
      <c r="F64">
        <f t="shared" si="2"/>
        <v>0</v>
      </c>
      <c r="G64">
        <f t="shared" si="1"/>
        <v>0</v>
      </c>
      <c r="H64" s="12" cm="1">
        <f t="array" ref="H64">PRODUCT(1+G$2:G64)-1</f>
        <v>0</v>
      </c>
      <c r="I64">
        <f>H64-MAX(H$2:H64)</f>
        <v>0</v>
      </c>
      <c r="L64" s="2">
        <v>0</v>
      </c>
    </row>
    <row r="65" spans="1:12" x14ac:dyDescent="0.25">
      <c r="A65" s="1">
        <v>44005</v>
      </c>
      <c r="B65">
        <v>313.489990234375</v>
      </c>
      <c r="C65">
        <v>310.64249725341699</v>
      </c>
      <c r="D65">
        <v>296.43619934082</v>
      </c>
      <c r="E65" t="str">
        <f t="shared" si="0"/>
        <v>Sell</v>
      </c>
      <c r="F65">
        <f t="shared" si="2"/>
        <v>0</v>
      </c>
      <c r="G65">
        <f t="shared" si="1"/>
        <v>0</v>
      </c>
      <c r="H65" s="12" cm="1">
        <f t="array" ref="H65">PRODUCT(1+G$2:G65)-1</f>
        <v>0</v>
      </c>
      <c r="I65">
        <f>H65-MAX(H$2:H65)</f>
        <v>0</v>
      </c>
      <c r="L65" s="2">
        <v>0</v>
      </c>
    </row>
    <row r="66" spans="1:12" x14ac:dyDescent="0.25">
      <c r="A66" s="1">
        <v>44006</v>
      </c>
      <c r="B66">
        <v>309.83999633789</v>
      </c>
      <c r="C66">
        <v>311.02849731445298</v>
      </c>
      <c r="D66">
        <v>297.01339904785101</v>
      </c>
      <c r="E66" t="str">
        <f t="shared" si="0"/>
        <v>Hold</v>
      </c>
      <c r="F66">
        <f t="shared" si="2"/>
        <v>0</v>
      </c>
      <c r="G66">
        <f t="shared" si="1"/>
        <v>0</v>
      </c>
      <c r="H66" s="12" cm="1">
        <f t="array" ref="H66">PRODUCT(1+G$2:G66)-1</f>
        <v>0</v>
      </c>
      <c r="I66">
        <f>H66-MAX(H$2:H66)</f>
        <v>0</v>
      </c>
      <c r="L66" s="2">
        <v>0</v>
      </c>
    </row>
    <row r="67" spans="1:12" x14ac:dyDescent="0.25">
      <c r="A67" s="1">
        <v>44007</v>
      </c>
      <c r="B67">
        <v>303.47000122070301</v>
      </c>
      <c r="C67">
        <v>310.96949768066401</v>
      </c>
      <c r="D67">
        <v>297.53139892578099</v>
      </c>
      <c r="E67" t="str">
        <f t="shared" ref="E67:E130" si="3">IF(OR(ISBLANK(C67),ISBLANK(D67),ISBLANK(C68),ISBLANK(D68)), "Hold", IF(AND(C67&gt;C68,C68&lt;=D68), "Buy", IF(AND(C67&lt;C68,C68&gt;=D68), "Sell", "Hold")))</f>
        <v>Sell</v>
      </c>
      <c r="F67">
        <f t="shared" si="2"/>
        <v>0</v>
      </c>
      <c r="G67">
        <f t="shared" ref="G67:G130" si="4">IF(F67=1,(B68-B67)/B67,0)</f>
        <v>0</v>
      </c>
      <c r="H67" s="12" cm="1">
        <f t="array" ref="H67">PRODUCT(1+G$2:G67)-1</f>
        <v>0</v>
      </c>
      <c r="I67">
        <f>H67-MAX(H$2:H67)</f>
        <v>0</v>
      </c>
      <c r="L67" s="2">
        <v>0</v>
      </c>
    </row>
    <row r="68" spans="1:12" x14ac:dyDescent="0.25">
      <c r="A68" s="1">
        <v>44008</v>
      </c>
      <c r="B68">
        <v>306.16000366210898</v>
      </c>
      <c r="C68">
        <v>311.15449829101499</v>
      </c>
      <c r="D68">
        <v>298.07159912109302</v>
      </c>
      <c r="E68" t="str">
        <f t="shared" si="3"/>
        <v>Hold</v>
      </c>
      <c r="F68">
        <f t="shared" ref="F68:F131" si="5">IF(E68="Buy",1, IF(E68="Sell",0,F67))</f>
        <v>0</v>
      </c>
      <c r="G68">
        <f t="shared" si="4"/>
        <v>0</v>
      </c>
      <c r="H68" s="12" cm="1">
        <f t="array" ref="H68">PRODUCT(1+G$2:G68)-1</f>
        <v>0</v>
      </c>
      <c r="I68">
        <f>H68-MAX(H$2:H68)</f>
        <v>0</v>
      </c>
      <c r="L68" s="2">
        <v>0</v>
      </c>
    </row>
    <row r="69" spans="1:12" x14ac:dyDescent="0.25">
      <c r="A69" s="1">
        <v>44011</v>
      </c>
      <c r="B69">
        <v>301.41000366210898</v>
      </c>
      <c r="C69">
        <v>311.04399871826098</v>
      </c>
      <c r="D69">
        <v>298.39219909667901</v>
      </c>
      <c r="E69" t="str">
        <f t="shared" si="3"/>
        <v>Hold</v>
      </c>
      <c r="F69">
        <f t="shared" si="5"/>
        <v>0</v>
      </c>
      <c r="G69">
        <f t="shared" si="4"/>
        <v>0</v>
      </c>
      <c r="H69" s="12" cm="1">
        <f t="array" ref="H69">PRODUCT(1+G$2:G69)-1</f>
        <v>0</v>
      </c>
      <c r="I69">
        <f>H69-MAX(H$2:H69)</f>
        <v>0</v>
      </c>
      <c r="L69" s="2">
        <v>0</v>
      </c>
    </row>
    <row r="70" spans="1:12" x14ac:dyDescent="0.25">
      <c r="A70" s="1">
        <v>44012</v>
      </c>
      <c r="B70">
        <v>303.989990234375</v>
      </c>
      <c r="C70">
        <v>310.91599884033201</v>
      </c>
      <c r="D70">
        <v>298.81979919433502</v>
      </c>
      <c r="E70" t="str">
        <f t="shared" si="3"/>
        <v>Hold</v>
      </c>
      <c r="F70">
        <f t="shared" si="5"/>
        <v>0</v>
      </c>
      <c r="G70">
        <f t="shared" si="4"/>
        <v>0</v>
      </c>
      <c r="H70" s="12" cm="1">
        <f t="array" ref="H70">PRODUCT(1+G$2:G70)-1</f>
        <v>0</v>
      </c>
      <c r="I70">
        <f>H70-MAX(H$2:H70)</f>
        <v>0</v>
      </c>
      <c r="L70" s="2">
        <v>0</v>
      </c>
    </row>
    <row r="71" spans="1:12" x14ac:dyDescent="0.25">
      <c r="A71" s="1">
        <v>44013</v>
      </c>
      <c r="B71">
        <v>309.57000732421801</v>
      </c>
      <c r="C71">
        <v>310.88249969482399</v>
      </c>
      <c r="D71">
        <v>299.47659912109299</v>
      </c>
      <c r="E71" t="str">
        <f t="shared" si="3"/>
        <v>Sell</v>
      </c>
      <c r="F71">
        <f t="shared" si="5"/>
        <v>0</v>
      </c>
      <c r="G71">
        <f t="shared" si="4"/>
        <v>0</v>
      </c>
      <c r="H71" s="12" cm="1">
        <f t="array" ref="H71">PRODUCT(1+G$2:G71)-1</f>
        <v>0</v>
      </c>
      <c r="I71">
        <f>H71-MAX(H$2:H71)</f>
        <v>0</v>
      </c>
      <c r="L71" s="2">
        <v>0</v>
      </c>
    </row>
    <row r="72" spans="1:12" x14ac:dyDescent="0.25">
      <c r="A72" s="1">
        <v>44014</v>
      </c>
      <c r="B72">
        <v>314.239990234375</v>
      </c>
      <c r="C72">
        <v>311.03899993896403</v>
      </c>
      <c r="D72">
        <v>300.19439880370999</v>
      </c>
      <c r="E72" t="str">
        <f t="shared" si="3"/>
        <v>Hold</v>
      </c>
      <c r="F72">
        <f t="shared" si="5"/>
        <v>0</v>
      </c>
      <c r="G72">
        <f t="shared" si="4"/>
        <v>0</v>
      </c>
      <c r="H72" s="12" cm="1">
        <f t="array" ref="H72">PRODUCT(1+G$2:G72)-1</f>
        <v>0</v>
      </c>
      <c r="I72">
        <f>H72-MAX(H$2:H72)</f>
        <v>0</v>
      </c>
      <c r="L72" s="2">
        <v>0</v>
      </c>
    </row>
    <row r="73" spans="1:12" x14ac:dyDescent="0.25">
      <c r="A73" s="1">
        <v>44018</v>
      </c>
      <c r="B73">
        <v>316.36999511718699</v>
      </c>
      <c r="C73">
        <v>310.99599914550703</v>
      </c>
      <c r="D73">
        <v>300.91199890136699</v>
      </c>
      <c r="E73" t="str">
        <f t="shared" si="3"/>
        <v>Hold</v>
      </c>
      <c r="F73">
        <f t="shared" si="5"/>
        <v>0</v>
      </c>
      <c r="G73">
        <f t="shared" si="4"/>
        <v>0</v>
      </c>
      <c r="H73" s="12" cm="1">
        <f t="array" ref="H73">PRODUCT(1+G$2:G73)-1</f>
        <v>0</v>
      </c>
      <c r="I73">
        <f>H73-MAX(H$2:H73)</f>
        <v>0</v>
      </c>
      <c r="L73" s="2">
        <v>0</v>
      </c>
    </row>
    <row r="74" spans="1:12" x14ac:dyDescent="0.25">
      <c r="A74" s="1">
        <v>44019</v>
      </c>
      <c r="B74">
        <v>315.38000488281199</v>
      </c>
      <c r="C74">
        <v>310.75399932861302</v>
      </c>
      <c r="D74">
        <v>301.60499877929601</v>
      </c>
      <c r="E74" t="str">
        <f t="shared" si="3"/>
        <v>Hold</v>
      </c>
      <c r="F74">
        <f t="shared" si="5"/>
        <v>0</v>
      </c>
      <c r="G74">
        <f t="shared" si="4"/>
        <v>0</v>
      </c>
      <c r="H74" s="12" cm="1">
        <f t="array" ref="H74">PRODUCT(1+G$2:G74)-1</f>
        <v>0</v>
      </c>
      <c r="I74">
        <f>H74-MAX(H$2:H74)</f>
        <v>0</v>
      </c>
      <c r="L74" s="2">
        <v>0</v>
      </c>
    </row>
    <row r="75" spans="1:12" x14ac:dyDescent="0.25">
      <c r="A75" s="1">
        <v>44020</v>
      </c>
      <c r="B75">
        <v>314.60998535156199</v>
      </c>
      <c r="C75">
        <v>310.46949920654203</v>
      </c>
      <c r="D75">
        <v>302.19479858398398</v>
      </c>
      <c r="E75" t="str">
        <f t="shared" si="3"/>
        <v>Hold</v>
      </c>
      <c r="F75">
        <f t="shared" si="5"/>
        <v>0</v>
      </c>
      <c r="G75">
        <f t="shared" si="4"/>
        <v>0</v>
      </c>
      <c r="H75" s="12" cm="1">
        <f t="array" ref="H75">PRODUCT(1+G$2:G75)-1</f>
        <v>0</v>
      </c>
      <c r="I75">
        <f>H75-MAX(H$2:H75)</f>
        <v>0</v>
      </c>
      <c r="L75" s="2">
        <v>0</v>
      </c>
    </row>
    <row r="76" spans="1:12" x14ac:dyDescent="0.25">
      <c r="A76" s="1">
        <v>44021</v>
      </c>
      <c r="B76">
        <v>316.83999633789</v>
      </c>
      <c r="C76">
        <v>310.24049835205</v>
      </c>
      <c r="D76">
        <v>302.71119873046803</v>
      </c>
      <c r="E76" t="str">
        <f t="shared" si="3"/>
        <v>Sell</v>
      </c>
      <c r="F76">
        <f t="shared" si="5"/>
        <v>0</v>
      </c>
      <c r="G76">
        <f t="shared" si="4"/>
        <v>0</v>
      </c>
      <c r="H76" s="12" cm="1">
        <f t="array" ref="H76">PRODUCT(1+G$2:G76)-1</f>
        <v>0</v>
      </c>
      <c r="I76">
        <f>H76-MAX(H$2:H76)</f>
        <v>0</v>
      </c>
      <c r="L76" s="2">
        <v>0</v>
      </c>
    </row>
    <row r="77" spans="1:12" x14ac:dyDescent="0.25">
      <c r="A77" s="1">
        <v>44022</v>
      </c>
      <c r="B77">
        <v>314.30999755859301</v>
      </c>
      <c r="C77">
        <v>310.38299865722598</v>
      </c>
      <c r="D77">
        <v>303.16679870605401</v>
      </c>
      <c r="E77" t="str">
        <f t="shared" si="3"/>
        <v>Sell</v>
      </c>
      <c r="F77">
        <f t="shared" si="5"/>
        <v>0</v>
      </c>
      <c r="G77">
        <f t="shared" si="4"/>
        <v>0</v>
      </c>
      <c r="H77" s="12" cm="1">
        <f t="array" ref="H77">PRODUCT(1+G$2:G77)-1</f>
        <v>0</v>
      </c>
      <c r="I77">
        <f>H77-MAX(H$2:H77)</f>
        <v>0</v>
      </c>
      <c r="L77" s="2">
        <v>0</v>
      </c>
    </row>
    <row r="78" spans="1:12" x14ac:dyDescent="0.25">
      <c r="A78" s="1">
        <v>44025</v>
      </c>
      <c r="B78">
        <v>320.13000488281199</v>
      </c>
      <c r="C78">
        <v>310.97749938964802</v>
      </c>
      <c r="D78">
        <v>303.73519897460898</v>
      </c>
      <c r="E78" t="str">
        <f t="shared" si="3"/>
        <v>Sell</v>
      </c>
      <c r="F78">
        <f t="shared" si="5"/>
        <v>0</v>
      </c>
      <c r="G78">
        <f t="shared" si="4"/>
        <v>0</v>
      </c>
      <c r="H78" s="12" cm="1">
        <f t="array" ref="H78">PRODUCT(1+G$2:G78)-1</f>
        <v>0</v>
      </c>
      <c r="I78">
        <f>H78-MAX(H$2:H78)</f>
        <v>0</v>
      </c>
      <c r="L78" s="2">
        <v>0</v>
      </c>
    </row>
    <row r="79" spans="1:12" x14ac:dyDescent="0.25">
      <c r="A79" s="1">
        <v>44026</v>
      </c>
      <c r="B79">
        <v>313.29998779296801</v>
      </c>
      <c r="C79">
        <v>311.74149932861297</v>
      </c>
      <c r="D79">
        <v>304.29499877929601</v>
      </c>
      <c r="E79" t="str">
        <f t="shared" si="3"/>
        <v>Sell</v>
      </c>
      <c r="F79">
        <f t="shared" si="5"/>
        <v>0</v>
      </c>
      <c r="G79">
        <f t="shared" si="4"/>
        <v>0</v>
      </c>
      <c r="H79" s="12" cm="1">
        <f t="array" ref="H79">PRODUCT(1+G$2:G79)-1</f>
        <v>0</v>
      </c>
      <c r="I79">
        <f>H79-MAX(H$2:H79)</f>
        <v>0</v>
      </c>
      <c r="L79" s="2">
        <v>0</v>
      </c>
    </row>
    <row r="80" spans="1:12" x14ac:dyDescent="0.25">
      <c r="A80" s="1">
        <v>44027</v>
      </c>
      <c r="B80">
        <v>322.41000366210898</v>
      </c>
      <c r="C80">
        <v>312.08799896240203</v>
      </c>
      <c r="D80">
        <v>305.12839904785102</v>
      </c>
      <c r="E80" t="str">
        <f t="shared" si="3"/>
        <v>Sell</v>
      </c>
      <c r="F80">
        <f t="shared" si="5"/>
        <v>0</v>
      </c>
      <c r="G80">
        <f t="shared" si="4"/>
        <v>0</v>
      </c>
      <c r="H80" s="12" cm="1">
        <f t="array" ref="H80">PRODUCT(1+G$2:G80)-1</f>
        <v>0</v>
      </c>
      <c r="I80">
        <f>H80-MAX(H$2:H80)</f>
        <v>0</v>
      </c>
      <c r="L80" s="2">
        <v>0</v>
      </c>
    </row>
    <row r="81" spans="1:12" x14ac:dyDescent="0.25">
      <c r="A81" s="1">
        <v>44028</v>
      </c>
      <c r="B81">
        <v>319.79000854492102</v>
      </c>
      <c r="C81">
        <v>312.37399902343702</v>
      </c>
      <c r="D81">
        <v>305.79139892578098</v>
      </c>
      <c r="E81" t="str">
        <f t="shared" si="3"/>
        <v>Sell</v>
      </c>
      <c r="F81">
        <f t="shared" si="5"/>
        <v>0</v>
      </c>
      <c r="G81">
        <f t="shared" si="4"/>
        <v>0</v>
      </c>
      <c r="H81" s="12" cm="1">
        <f t="array" ref="H81">PRODUCT(1+G$2:G81)-1</f>
        <v>0</v>
      </c>
      <c r="I81">
        <f>H81-MAX(H$2:H81)</f>
        <v>0</v>
      </c>
      <c r="L81" s="2">
        <v>0</v>
      </c>
    </row>
    <row r="82" spans="1:12" x14ac:dyDescent="0.25">
      <c r="A82" s="1">
        <v>44029</v>
      </c>
      <c r="B82">
        <v>321.88000488281199</v>
      </c>
      <c r="C82">
        <v>312.96749877929602</v>
      </c>
      <c r="D82">
        <v>306.46819885253899</v>
      </c>
      <c r="E82" t="str">
        <f t="shared" si="3"/>
        <v>Sell</v>
      </c>
      <c r="F82">
        <f t="shared" si="5"/>
        <v>0</v>
      </c>
      <c r="G82">
        <f t="shared" si="4"/>
        <v>0</v>
      </c>
      <c r="H82" s="12" cm="1">
        <f t="array" ref="H82">PRODUCT(1+G$2:G82)-1</f>
        <v>0</v>
      </c>
      <c r="I82">
        <f>H82-MAX(H$2:H82)</f>
        <v>0</v>
      </c>
      <c r="L82" s="2">
        <v>0</v>
      </c>
    </row>
    <row r="83" spans="1:12" x14ac:dyDescent="0.25">
      <c r="A83" s="1">
        <v>44032</v>
      </c>
      <c r="B83">
        <v>321.42999267578102</v>
      </c>
      <c r="C83">
        <v>313.33049774169899</v>
      </c>
      <c r="D83">
        <v>307.14179870605398</v>
      </c>
      <c r="E83" t="str">
        <f t="shared" si="3"/>
        <v>Sell</v>
      </c>
      <c r="F83">
        <f t="shared" si="5"/>
        <v>0</v>
      </c>
      <c r="G83">
        <f t="shared" si="4"/>
        <v>0</v>
      </c>
      <c r="H83" s="12" cm="1">
        <f t="array" ref="H83">PRODUCT(1+G$2:G83)-1</f>
        <v>0</v>
      </c>
      <c r="I83">
        <f>H83-MAX(H$2:H83)</f>
        <v>0</v>
      </c>
      <c r="L83" s="2">
        <v>0</v>
      </c>
    </row>
    <row r="84" spans="1:12" x14ac:dyDescent="0.25">
      <c r="A84" s="1">
        <v>44033</v>
      </c>
      <c r="B84">
        <v>326.45001220703102</v>
      </c>
      <c r="C84">
        <v>314.25349884033199</v>
      </c>
      <c r="D84">
        <v>307.84899902343699</v>
      </c>
      <c r="E84" t="str">
        <f t="shared" si="3"/>
        <v>Sell</v>
      </c>
      <c r="F84">
        <f t="shared" si="5"/>
        <v>0</v>
      </c>
      <c r="G84">
        <f t="shared" si="4"/>
        <v>0</v>
      </c>
      <c r="H84" s="12" cm="1">
        <f t="array" ref="H84">PRODUCT(1+G$2:G84)-1</f>
        <v>0</v>
      </c>
      <c r="I84">
        <f>H84-MAX(H$2:H84)</f>
        <v>0</v>
      </c>
      <c r="L84" s="2">
        <v>0</v>
      </c>
    </row>
    <row r="85" spans="1:12" x14ac:dyDescent="0.25">
      <c r="A85" s="1">
        <v>44034</v>
      </c>
      <c r="B85">
        <v>324.61999511718699</v>
      </c>
      <c r="C85">
        <v>314.809999084472</v>
      </c>
      <c r="D85">
        <v>308.53459899902299</v>
      </c>
      <c r="E85" t="str">
        <f t="shared" si="3"/>
        <v>Sell</v>
      </c>
      <c r="F85">
        <f t="shared" si="5"/>
        <v>0</v>
      </c>
      <c r="G85">
        <f t="shared" si="4"/>
        <v>0</v>
      </c>
      <c r="H85" s="12" cm="1">
        <f t="array" ref="H85">PRODUCT(1+G$2:G85)-1</f>
        <v>0</v>
      </c>
      <c r="I85">
        <f>H85-MAX(H$2:H85)</f>
        <v>0</v>
      </c>
      <c r="L85" s="2">
        <v>0</v>
      </c>
    </row>
    <row r="86" spans="1:12" x14ac:dyDescent="0.25">
      <c r="A86" s="1">
        <v>44035</v>
      </c>
      <c r="B86">
        <v>326.47000122070301</v>
      </c>
      <c r="C86">
        <v>315.64149932861301</v>
      </c>
      <c r="D86">
        <v>309.18819885253902</v>
      </c>
      <c r="E86" t="str">
        <f t="shared" si="3"/>
        <v>Sell</v>
      </c>
      <c r="F86">
        <f t="shared" si="5"/>
        <v>0</v>
      </c>
      <c r="G86">
        <f t="shared" si="4"/>
        <v>0</v>
      </c>
      <c r="H86" s="12" cm="1">
        <f t="array" ref="H86">PRODUCT(1+G$2:G86)-1</f>
        <v>0</v>
      </c>
      <c r="I86">
        <f>H86-MAX(H$2:H86)</f>
        <v>0</v>
      </c>
      <c r="L86" s="2">
        <v>0</v>
      </c>
    </row>
    <row r="87" spans="1:12" x14ac:dyDescent="0.25">
      <c r="A87" s="1">
        <v>44036</v>
      </c>
      <c r="B87">
        <v>320.95001220703102</v>
      </c>
      <c r="C87">
        <v>316.51549987792902</v>
      </c>
      <c r="D87">
        <v>309.88599914550701</v>
      </c>
      <c r="E87" t="str">
        <f t="shared" si="3"/>
        <v>Sell</v>
      </c>
      <c r="F87">
        <f t="shared" si="5"/>
        <v>0</v>
      </c>
      <c r="G87">
        <f t="shared" si="4"/>
        <v>0</v>
      </c>
      <c r="H87" s="12" cm="1">
        <f t="array" ref="H87">PRODUCT(1+G$2:G87)-1</f>
        <v>0</v>
      </c>
      <c r="I87">
        <f>H87-MAX(H$2:H87)</f>
        <v>0</v>
      </c>
      <c r="L87" s="2">
        <v>0</v>
      </c>
    </row>
    <row r="88" spans="1:12" x14ac:dyDescent="0.25">
      <c r="A88" s="1">
        <v>44039</v>
      </c>
      <c r="B88">
        <v>321.63000488281199</v>
      </c>
      <c r="C88">
        <v>317.28899993896403</v>
      </c>
      <c r="D88">
        <v>310.73959899902297</v>
      </c>
      <c r="E88" t="str">
        <f t="shared" si="3"/>
        <v>Sell</v>
      </c>
      <c r="F88">
        <f t="shared" si="5"/>
        <v>0</v>
      </c>
      <c r="G88">
        <f t="shared" si="4"/>
        <v>0</v>
      </c>
      <c r="H88" s="12" cm="1">
        <f t="array" ref="H88">PRODUCT(1+G$2:G88)-1</f>
        <v>0</v>
      </c>
      <c r="I88">
        <f>H88-MAX(H$2:H88)</f>
        <v>0</v>
      </c>
      <c r="L88" s="2">
        <v>0</v>
      </c>
    </row>
    <row r="89" spans="1:12" x14ac:dyDescent="0.25">
      <c r="A89" s="1">
        <v>44040</v>
      </c>
      <c r="B89">
        <v>322.42999267578102</v>
      </c>
      <c r="C89">
        <v>318.33999938964803</v>
      </c>
      <c r="D89">
        <v>311.54079895019498</v>
      </c>
      <c r="E89" t="str">
        <f t="shared" si="3"/>
        <v>Sell</v>
      </c>
      <c r="F89">
        <f t="shared" si="5"/>
        <v>0</v>
      </c>
      <c r="G89">
        <f t="shared" si="4"/>
        <v>0</v>
      </c>
      <c r="H89" s="12" cm="1">
        <f t="array" ref="H89">PRODUCT(1+G$2:G89)-1</f>
        <v>0</v>
      </c>
      <c r="I89">
        <f>H89-MAX(H$2:H89)</f>
        <v>0</v>
      </c>
      <c r="L89" s="2">
        <v>0</v>
      </c>
    </row>
    <row r="90" spans="1:12" x14ac:dyDescent="0.25">
      <c r="A90" s="1">
        <v>44041</v>
      </c>
      <c r="B90">
        <v>322.11999511718699</v>
      </c>
      <c r="C90">
        <v>319.24649963378903</v>
      </c>
      <c r="D90">
        <v>312.12219909667903</v>
      </c>
      <c r="E90" t="str">
        <f t="shared" si="3"/>
        <v>Sell</v>
      </c>
      <c r="F90">
        <f t="shared" si="5"/>
        <v>0</v>
      </c>
      <c r="G90">
        <f t="shared" si="4"/>
        <v>0</v>
      </c>
      <c r="H90" s="12" cm="1">
        <f t="array" ref="H90">PRODUCT(1+G$2:G90)-1</f>
        <v>0</v>
      </c>
      <c r="I90">
        <f>H90-MAX(H$2:H90)</f>
        <v>0</v>
      </c>
      <c r="L90" s="2">
        <v>0</v>
      </c>
    </row>
    <row r="91" spans="1:12" x14ac:dyDescent="0.25">
      <c r="A91" s="1">
        <v>44042</v>
      </c>
      <c r="B91">
        <v>321.89999389648398</v>
      </c>
      <c r="C91">
        <v>319.862998962402</v>
      </c>
      <c r="D91">
        <v>312.67319885253897</v>
      </c>
      <c r="E91" t="str">
        <f t="shared" si="3"/>
        <v>Sell</v>
      </c>
      <c r="F91">
        <f t="shared" si="5"/>
        <v>0</v>
      </c>
      <c r="G91">
        <f t="shared" si="4"/>
        <v>0</v>
      </c>
      <c r="H91" s="12" cm="1">
        <f t="array" ref="H91">PRODUCT(1+G$2:G91)-1</f>
        <v>0</v>
      </c>
      <c r="I91">
        <f>H91-MAX(H$2:H91)</f>
        <v>0</v>
      </c>
      <c r="L91" s="2">
        <v>0</v>
      </c>
    </row>
    <row r="92" spans="1:12" x14ac:dyDescent="0.25">
      <c r="A92" s="1">
        <v>44043</v>
      </c>
      <c r="B92">
        <v>325.89999389648398</v>
      </c>
      <c r="C92">
        <v>320.44599914550702</v>
      </c>
      <c r="D92">
        <v>313.27479858398402</v>
      </c>
      <c r="E92" t="str">
        <f t="shared" si="3"/>
        <v>Sell</v>
      </c>
      <c r="F92">
        <f t="shared" si="5"/>
        <v>0</v>
      </c>
      <c r="G92">
        <f t="shared" si="4"/>
        <v>0</v>
      </c>
      <c r="H92" s="12" cm="1">
        <f t="array" ref="H92">PRODUCT(1+G$2:G92)-1</f>
        <v>0</v>
      </c>
      <c r="I92">
        <f>H92-MAX(H$2:H92)</f>
        <v>0</v>
      </c>
      <c r="L92" s="2">
        <v>0</v>
      </c>
    </row>
    <row r="93" spans="1:12" x14ac:dyDescent="0.25">
      <c r="A93" s="1">
        <v>44046</v>
      </c>
      <c r="B93">
        <v>328.32000732421801</v>
      </c>
      <c r="C93">
        <v>321.04349975585899</v>
      </c>
      <c r="D93">
        <v>313.90539855957002</v>
      </c>
      <c r="E93" t="str">
        <f t="shared" si="3"/>
        <v>Sell</v>
      </c>
      <c r="F93">
        <f t="shared" si="5"/>
        <v>0</v>
      </c>
      <c r="G93">
        <f t="shared" si="4"/>
        <v>0</v>
      </c>
      <c r="H93" s="12" cm="1">
        <f t="array" ref="H93">PRODUCT(1+G$2:G93)-1</f>
        <v>0</v>
      </c>
      <c r="I93">
        <f>H93-MAX(H$2:H93)</f>
        <v>0</v>
      </c>
      <c r="L93" s="2">
        <v>0</v>
      </c>
    </row>
    <row r="94" spans="1:12" x14ac:dyDescent="0.25">
      <c r="A94" s="1">
        <v>44047</v>
      </c>
      <c r="B94">
        <v>327.85998535156199</v>
      </c>
      <c r="C94">
        <v>321.66749877929601</v>
      </c>
      <c r="D94">
        <v>314.571198120117</v>
      </c>
      <c r="E94" t="str">
        <f t="shared" si="3"/>
        <v>Sell</v>
      </c>
      <c r="F94">
        <f t="shared" si="5"/>
        <v>0</v>
      </c>
      <c r="G94">
        <f t="shared" si="4"/>
        <v>0</v>
      </c>
      <c r="H94" s="12" cm="1">
        <f t="array" ref="H94">PRODUCT(1+G$2:G94)-1</f>
        <v>0</v>
      </c>
      <c r="I94">
        <f>H94-MAX(H$2:H94)</f>
        <v>0</v>
      </c>
      <c r="L94" s="2">
        <v>0</v>
      </c>
    </row>
    <row r="95" spans="1:12" x14ac:dyDescent="0.25">
      <c r="A95" s="1">
        <v>44048</v>
      </c>
      <c r="B95">
        <v>331.47000122070301</v>
      </c>
      <c r="C95">
        <v>322.51049957275302</v>
      </c>
      <c r="D95">
        <v>315.16199829101498</v>
      </c>
      <c r="E95" t="str">
        <f t="shared" si="3"/>
        <v>Sell</v>
      </c>
      <c r="F95">
        <f t="shared" si="5"/>
        <v>0</v>
      </c>
      <c r="G95">
        <f t="shared" si="4"/>
        <v>0</v>
      </c>
      <c r="H95" s="12" cm="1">
        <f t="array" ref="H95">PRODUCT(1+G$2:G95)-1</f>
        <v>0</v>
      </c>
      <c r="I95">
        <f>H95-MAX(H$2:H95)</f>
        <v>0</v>
      </c>
      <c r="L95" s="2">
        <v>0</v>
      </c>
    </row>
    <row r="96" spans="1:12" x14ac:dyDescent="0.25">
      <c r="A96" s="1">
        <v>44049</v>
      </c>
      <c r="B96">
        <v>331.48001098632801</v>
      </c>
      <c r="C96">
        <v>323.24250030517499</v>
      </c>
      <c r="D96">
        <v>315.74919860839799</v>
      </c>
      <c r="E96" t="str">
        <f t="shared" si="3"/>
        <v>Sell</v>
      </c>
      <c r="F96">
        <f t="shared" si="5"/>
        <v>0</v>
      </c>
      <c r="G96">
        <f t="shared" si="4"/>
        <v>0</v>
      </c>
      <c r="H96" s="12" cm="1">
        <f t="array" ref="H96">PRODUCT(1+G$2:G96)-1</f>
        <v>0</v>
      </c>
      <c r="I96">
        <f>H96-MAX(H$2:H96)</f>
        <v>0</v>
      </c>
      <c r="L96" s="2">
        <v>0</v>
      </c>
    </row>
    <row r="97" spans="1:12" x14ac:dyDescent="0.25">
      <c r="A97" s="1">
        <v>44050</v>
      </c>
      <c r="B97">
        <v>333.27999877929602</v>
      </c>
      <c r="C97">
        <v>324.19100036621001</v>
      </c>
      <c r="D97">
        <v>316.32179870605398</v>
      </c>
      <c r="E97" t="str">
        <f t="shared" si="3"/>
        <v>Sell</v>
      </c>
      <c r="F97">
        <f t="shared" si="5"/>
        <v>0</v>
      </c>
      <c r="G97">
        <f t="shared" si="4"/>
        <v>0</v>
      </c>
      <c r="H97" s="12" cm="1">
        <f t="array" ref="H97">PRODUCT(1+G$2:G97)-1</f>
        <v>0</v>
      </c>
      <c r="I97">
        <f>H97-MAX(H$2:H97)</f>
        <v>0</v>
      </c>
      <c r="L97" s="2">
        <v>0</v>
      </c>
    </row>
    <row r="98" spans="1:12" x14ac:dyDescent="0.25">
      <c r="A98" s="1">
        <v>44053</v>
      </c>
      <c r="B98">
        <v>335.05999755859301</v>
      </c>
      <c r="C98">
        <v>324.9375</v>
      </c>
      <c r="D98">
        <v>316.97379882812498</v>
      </c>
      <c r="E98" t="str">
        <f t="shared" si="3"/>
        <v>Sell</v>
      </c>
      <c r="F98">
        <f t="shared" si="5"/>
        <v>0</v>
      </c>
      <c r="G98">
        <f t="shared" si="4"/>
        <v>0</v>
      </c>
      <c r="H98" s="12" cm="1">
        <f t="array" ref="H98">PRODUCT(1+G$2:G98)-1</f>
        <v>0</v>
      </c>
      <c r="I98">
        <f>H98-MAX(H$2:H98)</f>
        <v>0</v>
      </c>
      <c r="L98" s="2">
        <v>0</v>
      </c>
    </row>
    <row r="99" spans="1:12" x14ac:dyDescent="0.25">
      <c r="A99" s="1">
        <v>44054</v>
      </c>
      <c r="B99">
        <v>336.850006103515</v>
      </c>
      <c r="C99">
        <v>326.11500091552699</v>
      </c>
      <c r="D99">
        <v>317.63839904785101</v>
      </c>
      <c r="E99" t="str">
        <f t="shared" si="3"/>
        <v>Sell</v>
      </c>
      <c r="F99">
        <f t="shared" si="5"/>
        <v>0</v>
      </c>
      <c r="G99">
        <f t="shared" si="4"/>
        <v>0</v>
      </c>
      <c r="H99" s="12" cm="1">
        <f t="array" ref="H99">PRODUCT(1+G$2:G99)-1</f>
        <v>0</v>
      </c>
      <c r="I99">
        <f>H99-MAX(H$2:H99)</f>
        <v>0</v>
      </c>
      <c r="L99" s="2">
        <v>0</v>
      </c>
    </row>
    <row r="100" spans="1:12" x14ac:dyDescent="0.25">
      <c r="A100" s="1">
        <v>44055</v>
      </c>
      <c r="B100">
        <v>335.44000244140602</v>
      </c>
      <c r="C100">
        <v>326.76650085449199</v>
      </c>
      <c r="D100">
        <v>318.21619934082003</v>
      </c>
      <c r="E100" t="str">
        <f t="shared" si="3"/>
        <v>Sell</v>
      </c>
      <c r="F100">
        <f t="shared" si="5"/>
        <v>0</v>
      </c>
      <c r="G100">
        <f t="shared" si="4"/>
        <v>0</v>
      </c>
      <c r="H100" s="12" cm="1">
        <f t="array" ref="H100">PRODUCT(1+G$2:G100)-1</f>
        <v>0</v>
      </c>
      <c r="I100">
        <f>H100-MAX(H$2:H100)</f>
        <v>0</v>
      </c>
      <c r="L100" s="2">
        <v>0</v>
      </c>
    </row>
    <row r="101" spans="1:12" x14ac:dyDescent="0.25">
      <c r="A101" s="1">
        <v>44056</v>
      </c>
      <c r="B101">
        <v>336.60998535156199</v>
      </c>
      <c r="C101">
        <v>327.60749969482401</v>
      </c>
      <c r="D101">
        <v>318.743599243164</v>
      </c>
      <c r="E101" t="str">
        <f t="shared" si="3"/>
        <v>Sell</v>
      </c>
      <c r="F101">
        <f t="shared" si="5"/>
        <v>0</v>
      </c>
      <c r="G101">
        <f t="shared" si="4"/>
        <v>0</v>
      </c>
      <c r="H101" s="12" cm="1">
        <f t="array" ref="H101">PRODUCT(1+G$2:G101)-1</f>
        <v>0</v>
      </c>
      <c r="I101">
        <f>H101-MAX(H$2:H101)</f>
        <v>0</v>
      </c>
      <c r="L101" s="2">
        <v>0</v>
      </c>
    </row>
    <row r="102" spans="1:12" x14ac:dyDescent="0.25">
      <c r="A102" s="1">
        <v>44057</v>
      </c>
      <c r="B102">
        <v>336.41000366210898</v>
      </c>
      <c r="C102">
        <v>328.33399963378901</v>
      </c>
      <c r="D102">
        <v>319.24959960937503</v>
      </c>
      <c r="E102" t="str">
        <f t="shared" si="3"/>
        <v>Sell</v>
      </c>
      <c r="F102">
        <f t="shared" si="5"/>
        <v>0</v>
      </c>
      <c r="G102">
        <f t="shared" si="4"/>
        <v>0</v>
      </c>
      <c r="H102" s="12" cm="1">
        <f t="array" ref="H102">PRODUCT(1+G$2:G102)-1</f>
        <v>0</v>
      </c>
      <c r="I102">
        <f>H102-MAX(H$2:H102)</f>
        <v>0</v>
      </c>
      <c r="L102" s="2">
        <v>0</v>
      </c>
    </row>
    <row r="103" spans="1:12" x14ac:dyDescent="0.25">
      <c r="A103" s="1">
        <v>44060</v>
      </c>
      <c r="B103">
        <v>337.94000244140602</v>
      </c>
      <c r="C103">
        <v>329.15950012207003</v>
      </c>
      <c r="D103">
        <v>319.66379943847602</v>
      </c>
      <c r="E103" t="str">
        <f t="shared" si="3"/>
        <v>Sell</v>
      </c>
      <c r="F103">
        <f t="shared" si="5"/>
        <v>0</v>
      </c>
      <c r="G103">
        <f t="shared" si="4"/>
        <v>0</v>
      </c>
      <c r="H103" s="12" cm="1">
        <f t="array" ref="H103">PRODUCT(1+G$2:G103)-1</f>
        <v>0</v>
      </c>
      <c r="I103">
        <f>H103-MAX(H$2:H103)</f>
        <v>0</v>
      </c>
      <c r="L103" s="2">
        <v>0</v>
      </c>
    </row>
    <row r="104" spans="1:12" x14ac:dyDescent="0.25">
      <c r="A104" s="1">
        <v>44061</v>
      </c>
      <c r="B104">
        <v>338.33999633789</v>
      </c>
      <c r="C104">
        <v>329.75399932861302</v>
      </c>
      <c r="D104">
        <v>320.02619934082003</v>
      </c>
      <c r="E104" t="str">
        <f t="shared" si="3"/>
        <v>Sell</v>
      </c>
      <c r="F104">
        <f t="shared" si="5"/>
        <v>0</v>
      </c>
      <c r="G104">
        <f t="shared" si="4"/>
        <v>0</v>
      </c>
      <c r="H104" s="12" cm="1">
        <f t="array" ref="H104">PRODUCT(1+G$2:G104)-1</f>
        <v>0</v>
      </c>
      <c r="I104">
        <f>H104-MAX(H$2:H104)</f>
        <v>0</v>
      </c>
      <c r="L104" s="2">
        <v>0</v>
      </c>
    </row>
    <row r="105" spans="1:12" x14ac:dyDescent="0.25">
      <c r="A105" s="1">
        <v>44062</v>
      </c>
      <c r="B105">
        <v>339.04998779296801</v>
      </c>
      <c r="C105">
        <v>330.47549896240201</v>
      </c>
      <c r="D105">
        <v>320.40119934082003</v>
      </c>
      <c r="E105" t="str">
        <f t="shared" si="3"/>
        <v>Sell</v>
      </c>
      <c r="F105">
        <f t="shared" si="5"/>
        <v>0</v>
      </c>
      <c r="G105">
        <f t="shared" si="4"/>
        <v>0</v>
      </c>
      <c r="H105" s="12" cm="1">
        <f t="array" ref="H105">PRODUCT(1+G$2:G105)-1</f>
        <v>0</v>
      </c>
      <c r="I105">
        <f>H105-MAX(H$2:H105)</f>
        <v>0</v>
      </c>
      <c r="L105" s="2">
        <v>0</v>
      </c>
    </row>
    <row r="106" spans="1:12" x14ac:dyDescent="0.25">
      <c r="A106" s="1">
        <v>44063</v>
      </c>
      <c r="B106">
        <v>335.35998535156199</v>
      </c>
      <c r="C106">
        <v>330.91999816894503</v>
      </c>
      <c r="D106">
        <v>320.679998779296</v>
      </c>
      <c r="E106" t="str">
        <f t="shared" si="3"/>
        <v>Sell</v>
      </c>
      <c r="F106">
        <f t="shared" si="5"/>
        <v>0</v>
      </c>
      <c r="G106">
        <f t="shared" si="4"/>
        <v>0</v>
      </c>
      <c r="H106" s="12" cm="1">
        <f t="array" ref="H106">PRODUCT(1+G$2:G106)-1</f>
        <v>0</v>
      </c>
      <c r="I106">
        <f>H106-MAX(H$2:H106)</f>
        <v>0</v>
      </c>
      <c r="L106" s="2">
        <v>0</v>
      </c>
    </row>
    <row r="107" spans="1:12" x14ac:dyDescent="0.25">
      <c r="A107" s="1">
        <v>44064</v>
      </c>
      <c r="B107">
        <v>337.92001342773398</v>
      </c>
      <c r="C107">
        <v>331.76849822998003</v>
      </c>
      <c r="D107">
        <v>321.20919921874997</v>
      </c>
      <c r="E107" t="str">
        <f t="shared" si="3"/>
        <v>Sell</v>
      </c>
      <c r="F107">
        <f t="shared" si="5"/>
        <v>0</v>
      </c>
      <c r="G107">
        <f t="shared" si="4"/>
        <v>0</v>
      </c>
      <c r="H107" s="12" cm="1">
        <f t="array" ref="H107">PRODUCT(1+G$2:G107)-1</f>
        <v>0</v>
      </c>
      <c r="I107">
        <f>H107-MAX(H$2:H107)</f>
        <v>0</v>
      </c>
      <c r="L107" s="2">
        <v>0</v>
      </c>
    </row>
    <row r="108" spans="1:12" x14ac:dyDescent="0.25">
      <c r="A108" s="1">
        <v>44067</v>
      </c>
      <c r="B108">
        <v>342.11999511718699</v>
      </c>
      <c r="C108">
        <v>332.79299774169903</v>
      </c>
      <c r="D108">
        <v>321.88679931640598</v>
      </c>
      <c r="E108" t="str">
        <f t="shared" si="3"/>
        <v>Sell</v>
      </c>
      <c r="F108">
        <f t="shared" si="5"/>
        <v>0</v>
      </c>
      <c r="G108">
        <f t="shared" si="4"/>
        <v>0</v>
      </c>
      <c r="H108" s="12" cm="1">
        <f t="array" ref="H108">PRODUCT(1+G$2:G108)-1</f>
        <v>0</v>
      </c>
      <c r="I108">
        <f>H108-MAX(H$2:H108)</f>
        <v>0</v>
      </c>
      <c r="L108" s="2">
        <v>0</v>
      </c>
    </row>
    <row r="109" spans="1:12" x14ac:dyDescent="0.25">
      <c r="A109" s="1">
        <v>44068</v>
      </c>
      <c r="B109">
        <v>343.52999877929602</v>
      </c>
      <c r="C109">
        <v>333.84799804687498</v>
      </c>
      <c r="D109">
        <v>322.79699951171801</v>
      </c>
      <c r="E109" t="str">
        <f t="shared" si="3"/>
        <v>Sell</v>
      </c>
      <c r="F109">
        <f t="shared" si="5"/>
        <v>0</v>
      </c>
      <c r="G109">
        <f t="shared" si="4"/>
        <v>0</v>
      </c>
      <c r="H109" s="12" cm="1">
        <f t="array" ref="H109">PRODUCT(1+G$2:G109)-1</f>
        <v>0</v>
      </c>
      <c r="I109">
        <f>H109-MAX(H$2:H109)</f>
        <v>0</v>
      </c>
      <c r="L109" s="2">
        <v>0</v>
      </c>
    </row>
    <row r="110" spans="1:12" x14ac:dyDescent="0.25">
      <c r="A110" s="1">
        <v>44069</v>
      </c>
      <c r="B110">
        <v>344.760009765625</v>
      </c>
      <c r="C110">
        <v>334.97999877929601</v>
      </c>
      <c r="D110">
        <v>323.38259948730399</v>
      </c>
      <c r="E110" t="str">
        <f t="shared" si="3"/>
        <v>Sell</v>
      </c>
      <c r="F110">
        <f t="shared" si="5"/>
        <v>0</v>
      </c>
      <c r="G110">
        <f t="shared" si="4"/>
        <v>0</v>
      </c>
      <c r="H110" s="12" cm="1">
        <f t="array" ref="H110">PRODUCT(1+G$2:G110)-1</f>
        <v>0</v>
      </c>
      <c r="I110">
        <f>H110-MAX(H$2:H110)</f>
        <v>0</v>
      </c>
      <c r="L110" s="2">
        <v>0</v>
      </c>
    </row>
    <row r="111" spans="1:12" x14ac:dyDescent="0.25">
      <c r="A111" s="1">
        <v>44070</v>
      </c>
      <c r="B111">
        <v>348.510009765625</v>
      </c>
      <c r="C111">
        <v>336.31049957275297</v>
      </c>
      <c r="D111">
        <v>324.07139953613199</v>
      </c>
      <c r="E111" t="str">
        <f t="shared" si="3"/>
        <v>Sell</v>
      </c>
      <c r="F111">
        <f t="shared" si="5"/>
        <v>0</v>
      </c>
      <c r="G111">
        <f t="shared" si="4"/>
        <v>0</v>
      </c>
      <c r="H111" s="12" cm="1">
        <f t="array" ref="H111">PRODUCT(1+G$2:G111)-1</f>
        <v>0</v>
      </c>
      <c r="I111">
        <f>H111-MAX(H$2:H111)</f>
        <v>0</v>
      </c>
      <c r="L111" s="2">
        <v>0</v>
      </c>
    </row>
    <row r="112" spans="1:12" x14ac:dyDescent="0.25">
      <c r="A112" s="1">
        <v>44071</v>
      </c>
      <c r="B112">
        <v>349.44000244140602</v>
      </c>
      <c r="C112">
        <v>337.48750000000001</v>
      </c>
      <c r="D112">
        <v>324.85999938964801</v>
      </c>
      <c r="E112" t="str">
        <f t="shared" si="3"/>
        <v>Sell</v>
      </c>
      <c r="F112">
        <f t="shared" si="5"/>
        <v>0</v>
      </c>
      <c r="G112">
        <f t="shared" si="4"/>
        <v>0</v>
      </c>
      <c r="H112" s="12" cm="1">
        <f t="array" ref="H112">PRODUCT(1+G$2:G112)-1</f>
        <v>0</v>
      </c>
      <c r="I112">
        <f>H112-MAX(H$2:H112)</f>
        <v>0</v>
      </c>
      <c r="L112" s="2">
        <v>0</v>
      </c>
    </row>
    <row r="113" spans="1:12" x14ac:dyDescent="0.25">
      <c r="A113" s="1">
        <v>44074</v>
      </c>
      <c r="B113">
        <v>350.350006103515</v>
      </c>
      <c r="C113">
        <v>338.58899993896398</v>
      </c>
      <c r="D113">
        <v>325.58359924316397</v>
      </c>
      <c r="E113" t="str">
        <f t="shared" si="3"/>
        <v>Sell</v>
      </c>
      <c r="F113">
        <f t="shared" si="5"/>
        <v>0</v>
      </c>
      <c r="G113">
        <f t="shared" si="4"/>
        <v>0</v>
      </c>
      <c r="H113" s="12" cm="1">
        <f t="array" ref="H113">PRODUCT(1+G$2:G113)-1</f>
        <v>0</v>
      </c>
      <c r="I113">
        <f>H113-MAX(H$2:H113)</f>
        <v>0</v>
      </c>
      <c r="L113" s="2">
        <v>0</v>
      </c>
    </row>
    <row r="114" spans="1:12" x14ac:dyDescent="0.25">
      <c r="A114" s="1">
        <v>44075</v>
      </c>
      <c r="B114">
        <v>350.20999145507801</v>
      </c>
      <c r="C114">
        <v>339.70650024413999</v>
      </c>
      <c r="D114">
        <v>326.427999267578</v>
      </c>
      <c r="E114" t="str">
        <f t="shared" si="3"/>
        <v>Sell</v>
      </c>
      <c r="F114">
        <f t="shared" si="5"/>
        <v>0</v>
      </c>
      <c r="G114">
        <f t="shared" si="4"/>
        <v>0</v>
      </c>
      <c r="H114" s="12" cm="1">
        <f t="array" ref="H114">PRODUCT(1+G$2:G114)-1</f>
        <v>0</v>
      </c>
      <c r="I114">
        <f>H114-MAX(H$2:H114)</f>
        <v>0</v>
      </c>
      <c r="L114" s="2">
        <v>0</v>
      </c>
    </row>
    <row r="115" spans="1:12" x14ac:dyDescent="0.25">
      <c r="A115" s="1">
        <v>44076</v>
      </c>
      <c r="B115">
        <v>354.67001342773398</v>
      </c>
      <c r="C115">
        <v>340.86650085449202</v>
      </c>
      <c r="D115">
        <v>327.25159973144503</v>
      </c>
      <c r="E115" t="str">
        <f t="shared" si="3"/>
        <v>Sell</v>
      </c>
      <c r="F115">
        <f t="shared" si="5"/>
        <v>0</v>
      </c>
      <c r="G115">
        <f t="shared" si="4"/>
        <v>0</v>
      </c>
      <c r="H115" s="12" cm="1">
        <f t="array" ref="H115">PRODUCT(1+G$2:G115)-1</f>
        <v>0</v>
      </c>
      <c r="I115">
        <f>H115-MAX(H$2:H115)</f>
        <v>0</v>
      </c>
      <c r="L115" s="2">
        <v>0</v>
      </c>
    </row>
    <row r="116" spans="1:12" x14ac:dyDescent="0.25">
      <c r="A116" s="1">
        <v>44077</v>
      </c>
      <c r="B116">
        <v>355.86999511718699</v>
      </c>
      <c r="C116">
        <v>342.08600006103501</v>
      </c>
      <c r="D116">
        <v>328.17219970703098</v>
      </c>
      <c r="E116" t="str">
        <f t="shared" si="3"/>
        <v>Sell</v>
      </c>
      <c r="F116">
        <f t="shared" si="5"/>
        <v>0</v>
      </c>
      <c r="G116">
        <f t="shared" si="4"/>
        <v>0</v>
      </c>
      <c r="H116" s="12" cm="1">
        <f t="array" ref="H116">PRODUCT(1+G$2:G116)-1</f>
        <v>0</v>
      </c>
      <c r="I116">
        <f>H116-MAX(H$2:H116)</f>
        <v>0</v>
      </c>
      <c r="L116" s="2">
        <v>0</v>
      </c>
    </row>
    <row r="117" spans="1:12" x14ac:dyDescent="0.25">
      <c r="A117" s="1">
        <v>44078</v>
      </c>
      <c r="B117">
        <v>346.13000488281199</v>
      </c>
      <c r="C117">
        <v>342.72850036621003</v>
      </c>
      <c r="D117">
        <v>329.02539978027301</v>
      </c>
      <c r="E117" t="str">
        <f t="shared" si="3"/>
        <v>Sell</v>
      </c>
      <c r="F117">
        <f t="shared" si="5"/>
        <v>0</v>
      </c>
      <c r="G117">
        <f t="shared" si="4"/>
        <v>0</v>
      </c>
      <c r="H117" s="12" cm="1">
        <f t="array" ref="H117">PRODUCT(1+G$2:G117)-1</f>
        <v>0</v>
      </c>
      <c r="I117">
        <f>H117-MAX(H$2:H117)</f>
        <v>0</v>
      </c>
      <c r="L117" s="2">
        <v>0</v>
      </c>
    </row>
    <row r="118" spans="1:12" x14ac:dyDescent="0.25">
      <c r="A118" s="1">
        <v>44082</v>
      </c>
      <c r="B118">
        <v>336.70999145507801</v>
      </c>
      <c r="C118">
        <v>342.81100006103497</v>
      </c>
      <c r="D118">
        <v>329.63639953613199</v>
      </c>
      <c r="E118" t="str">
        <f t="shared" si="3"/>
        <v>Sell</v>
      </c>
      <c r="F118">
        <f t="shared" si="5"/>
        <v>0</v>
      </c>
      <c r="G118">
        <f t="shared" si="4"/>
        <v>0</v>
      </c>
      <c r="H118" s="12" cm="1">
        <f t="array" ref="H118">PRODUCT(1+G$2:G118)-1</f>
        <v>0</v>
      </c>
      <c r="I118">
        <f>H118-MAX(H$2:H118)</f>
        <v>0</v>
      </c>
      <c r="L118" s="2">
        <v>0</v>
      </c>
    </row>
    <row r="119" spans="1:12" x14ac:dyDescent="0.25">
      <c r="A119" s="1">
        <v>44083</v>
      </c>
      <c r="B119">
        <v>337.54998779296801</v>
      </c>
      <c r="C119">
        <v>342.84599914550699</v>
      </c>
      <c r="D119">
        <v>330.35919921875001</v>
      </c>
      <c r="E119" t="str">
        <f t="shared" si="3"/>
        <v>Sell</v>
      </c>
      <c r="F119">
        <f t="shared" si="5"/>
        <v>0</v>
      </c>
      <c r="G119">
        <f t="shared" si="4"/>
        <v>0</v>
      </c>
      <c r="H119" s="12" cm="1">
        <f t="array" ref="H119">PRODUCT(1+G$2:G119)-1</f>
        <v>0</v>
      </c>
      <c r="I119">
        <f>H119-MAX(H$2:H119)</f>
        <v>0</v>
      </c>
      <c r="L119" s="2">
        <v>0</v>
      </c>
    </row>
    <row r="120" spans="1:12" x14ac:dyDescent="0.25">
      <c r="A120" s="1">
        <v>44084</v>
      </c>
      <c r="B120">
        <v>341.82000732421801</v>
      </c>
      <c r="C120">
        <v>343.16499938964802</v>
      </c>
      <c r="D120">
        <v>331.11579956054601</v>
      </c>
      <c r="E120" t="str">
        <f t="shared" si="3"/>
        <v>Hold</v>
      </c>
      <c r="F120">
        <f t="shared" si="5"/>
        <v>0</v>
      </c>
      <c r="G120">
        <f t="shared" si="4"/>
        <v>0</v>
      </c>
      <c r="H120" s="12" cm="1">
        <f t="array" ref="H120">PRODUCT(1+G$2:G120)-1</f>
        <v>0</v>
      </c>
      <c r="I120">
        <f>H120-MAX(H$2:H120)</f>
        <v>0</v>
      </c>
      <c r="L120" s="2">
        <v>0</v>
      </c>
    </row>
    <row r="121" spans="1:12" x14ac:dyDescent="0.25">
      <c r="A121" s="1">
        <v>44085</v>
      </c>
      <c r="B121">
        <v>335.82000732421801</v>
      </c>
      <c r="C121">
        <v>343.12550048828098</v>
      </c>
      <c r="D121">
        <v>331.64079956054599</v>
      </c>
      <c r="E121" t="str">
        <f t="shared" si="3"/>
        <v>Sell</v>
      </c>
      <c r="F121">
        <f t="shared" si="5"/>
        <v>0</v>
      </c>
      <c r="G121">
        <f t="shared" si="4"/>
        <v>0</v>
      </c>
      <c r="H121" s="12" cm="1">
        <f t="array" ref="H121">PRODUCT(1+G$2:G121)-1</f>
        <v>0</v>
      </c>
      <c r="I121">
        <f>H121-MAX(H$2:H121)</f>
        <v>0</v>
      </c>
      <c r="L121" s="2">
        <v>0</v>
      </c>
    </row>
    <row r="122" spans="1:12" x14ac:dyDescent="0.25">
      <c r="A122" s="1">
        <v>44088</v>
      </c>
      <c r="B122">
        <v>337.489990234375</v>
      </c>
      <c r="C122">
        <v>343.17949981689401</v>
      </c>
      <c r="D122">
        <v>332.10579956054602</v>
      </c>
      <c r="E122" t="str">
        <f t="shared" si="3"/>
        <v>Sell</v>
      </c>
      <c r="F122">
        <f t="shared" si="5"/>
        <v>0</v>
      </c>
      <c r="G122">
        <f t="shared" si="4"/>
        <v>0</v>
      </c>
      <c r="H122" s="12" cm="1">
        <f t="array" ref="H122">PRODUCT(1+G$2:G122)-1</f>
        <v>0</v>
      </c>
      <c r="I122">
        <f>H122-MAX(H$2:H122)</f>
        <v>0</v>
      </c>
      <c r="L122" s="2">
        <v>0</v>
      </c>
    </row>
    <row r="123" spans="1:12" x14ac:dyDescent="0.25">
      <c r="A123" s="1">
        <v>44089</v>
      </c>
      <c r="B123">
        <v>341.11999511718699</v>
      </c>
      <c r="C123">
        <v>343.338499450683</v>
      </c>
      <c r="D123">
        <v>332.60079956054602</v>
      </c>
      <c r="E123" t="str">
        <f t="shared" si="3"/>
        <v>Sell</v>
      </c>
      <c r="F123">
        <f t="shared" si="5"/>
        <v>0</v>
      </c>
      <c r="G123">
        <f t="shared" si="4"/>
        <v>0</v>
      </c>
      <c r="H123" s="12" cm="1">
        <f t="array" ref="H123">PRODUCT(1+G$2:G123)-1</f>
        <v>0</v>
      </c>
      <c r="I123">
        <f>H123-MAX(H$2:H123)</f>
        <v>0</v>
      </c>
      <c r="L123" s="2">
        <v>0</v>
      </c>
    </row>
    <row r="124" spans="1:12" x14ac:dyDescent="0.25">
      <c r="A124" s="1">
        <v>44090</v>
      </c>
      <c r="B124">
        <v>341.510009765625</v>
      </c>
      <c r="C124">
        <v>343.49700012207001</v>
      </c>
      <c r="D124">
        <v>333.12339965820303</v>
      </c>
      <c r="E124" t="str">
        <f t="shared" si="3"/>
        <v>Hold</v>
      </c>
      <c r="F124">
        <f t="shared" si="5"/>
        <v>0</v>
      </c>
      <c r="G124">
        <f t="shared" si="4"/>
        <v>0</v>
      </c>
      <c r="H124" s="12" cm="1">
        <f t="array" ref="H124">PRODUCT(1+G$2:G124)-1</f>
        <v>0</v>
      </c>
      <c r="I124">
        <f>H124-MAX(H$2:H124)</f>
        <v>0</v>
      </c>
      <c r="L124" s="2">
        <v>0</v>
      </c>
    </row>
    <row r="125" spans="1:12" x14ac:dyDescent="0.25">
      <c r="A125" s="1">
        <v>44091</v>
      </c>
      <c r="B125">
        <v>333.55999755859301</v>
      </c>
      <c r="C125">
        <v>343.22250061035101</v>
      </c>
      <c r="D125">
        <v>333.50239990234297</v>
      </c>
      <c r="E125" t="str">
        <f t="shared" si="3"/>
        <v>Sell</v>
      </c>
      <c r="F125">
        <f t="shared" si="5"/>
        <v>0</v>
      </c>
      <c r="G125">
        <f t="shared" si="4"/>
        <v>0</v>
      </c>
      <c r="H125" s="12" cm="1">
        <f t="array" ref="H125">PRODUCT(1+G$2:G125)-1</f>
        <v>0</v>
      </c>
      <c r="I125">
        <f>H125-MAX(H$2:H125)</f>
        <v>0</v>
      </c>
      <c r="L125" s="2">
        <v>0</v>
      </c>
    </row>
    <row r="126" spans="1:12" x14ac:dyDescent="0.25">
      <c r="A126" s="1">
        <v>44092</v>
      </c>
      <c r="B126">
        <v>335.36999511718699</v>
      </c>
      <c r="C126">
        <v>343.22300109863198</v>
      </c>
      <c r="D126">
        <v>333.87299987792898</v>
      </c>
      <c r="E126" t="str">
        <f t="shared" si="3"/>
        <v>Hold</v>
      </c>
      <c r="F126">
        <f t="shared" si="5"/>
        <v>0</v>
      </c>
      <c r="G126">
        <f t="shared" si="4"/>
        <v>0</v>
      </c>
      <c r="H126" s="12" cm="1">
        <f t="array" ref="H126">PRODUCT(1+G$2:G126)-1</f>
        <v>0</v>
      </c>
      <c r="I126">
        <f>H126-MAX(H$2:H126)</f>
        <v>0</v>
      </c>
      <c r="L126" s="2">
        <v>0</v>
      </c>
    </row>
    <row r="127" spans="1:12" x14ac:dyDescent="0.25">
      <c r="A127" s="1">
        <v>44095</v>
      </c>
      <c r="B127">
        <v>325.70001220703102</v>
      </c>
      <c r="C127">
        <v>342.612001037597</v>
      </c>
      <c r="D127">
        <v>334.10080017089803</v>
      </c>
      <c r="E127" t="str">
        <f t="shared" si="3"/>
        <v>Hold</v>
      </c>
      <c r="F127">
        <f t="shared" si="5"/>
        <v>0</v>
      </c>
      <c r="G127">
        <f t="shared" si="4"/>
        <v>0</v>
      </c>
      <c r="H127" s="12" cm="1">
        <f t="array" ref="H127">PRODUCT(1+G$2:G127)-1</f>
        <v>0</v>
      </c>
      <c r="I127">
        <f>H127-MAX(H$2:H127)</f>
        <v>0</v>
      </c>
      <c r="L127" s="2">
        <v>0</v>
      </c>
    </row>
    <row r="128" spans="1:12" x14ac:dyDescent="0.25">
      <c r="A128" s="1">
        <v>44096</v>
      </c>
      <c r="B128">
        <v>328.57000732421801</v>
      </c>
      <c r="C128">
        <v>341.93450164794899</v>
      </c>
      <c r="D128">
        <v>334.26960021972599</v>
      </c>
      <c r="E128" t="str">
        <f t="shared" si="3"/>
        <v>Hold</v>
      </c>
      <c r="F128">
        <f t="shared" si="5"/>
        <v>0</v>
      </c>
      <c r="G128">
        <f t="shared" si="4"/>
        <v>0</v>
      </c>
      <c r="H128" s="12" cm="1">
        <f t="array" ref="H128">PRODUCT(1+G$2:G128)-1</f>
        <v>0</v>
      </c>
      <c r="I128">
        <f>H128-MAX(H$2:H128)</f>
        <v>0</v>
      </c>
      <c r="L128" s="2">
        <v>0</v>
      </c>
    </row>
    <row r="129" spans="1:12" x14ac:dyDescent="0.25">
      <c r="A129" s="1">
        <v>44097</v>
      </c>
      <c r="B129">
        <v>330.89999389648398</v>
      </c>
      <c r="C129">
        <v>341.30300140380803</v>
      </c>
      <c r="D129">
        <v>334.62160034179601</v>
      </c>
      <c r="E129" t="str">
        <f t="shared" si="3"/>
        <v>Hold</v>
      </c>
      <c r="F129">
        <f t="shared" si="5"/>
        <v>0</v>
      </c>
      <c r="G129">
        <f t="shared" si="4"/>
        <v>0</v>
      </c>
      <c r="H129" s="12" cm="1">
        <f t="array" ref="H129">PRODUCT(1+G$2:G129)-1</f>
        <v>0</v>
      </c>
      <c r="I129">
        <f>H129-MAX(H$2:H129)</f>
        <v>0</v>
      </c>
      <c r="L129" s="2">
        <v>0</v>
      </c>
    </row>
    <row r="130" spans="1:12" x14ac:dyDescent="0.25">
      <c r="A130" s="1">
        <v>44098</v>
      </c>
      <c r="B130">
        <v>321.22000122070301</v>
      </c>
      <c r="C130">
        <v>340.12600097656201</v>
      </c>
      <c r="D130">
        <v>334.59780029296797</v>
      </c>
      <c r="E130" t="str">
        <f t="shared" si="3"/>
        <v>Hold</v>
      </c>
      <c r="F130">
        <f t="shared" si="5"/>
        <v>0</v>
      </c>
      <c r="G130">
        <f t="shared" si="4"/>
        <v>0</v>
      </c>
      <c r="H130" s="12" cm="1">
        <f t="array" ref="H130">PRODUCT(1+G$2:G130)-1</f>
        <v>0</v>
      </c>
      <c r="I130">
        <f>H130-MAX(H$2:H130)</f>
        <v>0</v>
      </c>
      <c r="L130" s="2">
        <v>0</v>
      </c>
    </row>
    <row r="131" spans="1:12" x14ac:dyDescent="0.25">
      <c r="A131" s="1">
        <v>44099</v>
      </c>
      <c r="B131">
        <v>322.579986572265</v>
      </c>
      <c r="C131">
        <v>338.82949981689399</v>
      </c>
      <c r="D131">
        <v>334.653599853515</v>
      </c>
      <c r="E131" t="str">
        <f t="shared" ref="E131:E194" si="6">IF(OR(ISBLANK(C131),ISBLANK(D131),ISBLANK(C132),ISBLANK(D132)), "Hold", IF(AND(C131&gt;C132,C132&lt;=D132), "Buy", IF(AND(C131&lt;C132,C132&gt;=D132), "Sell", "Hold")))</f>
        <v>Hold</v>
      </c>
      <c r="F131">
        <f t="shared" si="5"/>
        <v>0</v>
      </c>
      <c r="G131">
        <f t="shared" ref="G131:G194" si="7">IF(F131=1,(B132-B131)/B131,0)</f>
        <v>0</v>
      </c>
      <c r="H131" s="12" cm="1">
        <f t="array" ref="H131">PRODUCT(1+G$2:G131)-1</f>
        <v>0</v>
      </c>
      <c r="I131">
        <f>H131-MAX(H$2:H131)</f>
        <v>0</v>
      </c>
      <c r="L131" s="2">
        <v>0</v>
      </c>
    </row>
    <row r="132" spans="1:12" x14ac:dyDescent="0.25">
      <c r="A132" s="1">
        <v>44102</v>
      </c>
      <c r="B132">
        <v>333.22000122070301</v>
      </c>
      <c r="C132">
        <v>338.01849975585901</v>
      </c>
      <c r="D132">
        <v>334.88039978027302</v>
      </c>
      <c r="E132" t="str">
        <f t="shared" si="6"/>
        <v>Hold</v>
      </c>
      <c r="F132">
        <f t="shared" ref="F132:F195" si="8">IF(E132="Buy",1, IF(E132="Sell",0,F131))</f>
        <v>0</v>
      </c>
      <c r="G132">
        <f t="shared" si="7"/>
        <v>0</v>
      </c>
      <c r="H132" s="12" cm="1">
        <f t="array" ref="H132">PRODUCT(1+G$2:G132)-1</f>
        <v>0</v>
      </c>
      <c r="I132">
        <f>H132-MAX(H$2:H132)</f>
        <v>0</v>
      </c>
      <c r="L132" s="2">
        <v>0</v>
      </c>
    </row>
    <row r="133" spans="1:12" x14ac:dyDescent="0.25">
      <c r="A133" s="1">
        <v>44103</v>
      </c>
      <c r="B133">
        <v>333.97000122070301</v>
      </c>
      <c r="C133">
        <v>337.19949951171799</v>
      </c>
      <c r="D133">
        <v>335.13119995117103</v>
      </c>
      <c r="E133" t="str">
        <f t="shared" si="6"/>
        <v>Hold</v>
      </c>
      <c r="F133">
        <f t="shared" si="8"/>
        <v>0</v>
      </c>
      <c r="G133">
        <f t="shared" si="7"/>
        <v>0</v>
      </c>
      <c r="H133" s="12" cm="1">
        <f t="array" ref="H133">PRODUCT(1+G$2:G133)-1</f>
        <v>0</v>
      </c>
      <c r="I133">
        <f>H133-MAX(H$2:H133)</f>
        <v>0</v>
      </c>
      <c r="L133" s="2">
        <v>0</v>
      </c>
    </row>
    <row r="134" spans="1:12" x14ac:dyDescent="0.25">
      <c r="A134" s="1">
        <v>44104</v>
      </c>
      <c r="B134">
        <v>333.08999633789</v>
      </c>
      <c r="C134">
        <v>336.343499755859</v>
      </c>
      <c r="D134">
        <v>335.26399963378901</v>
      </c>
      <c r="E134" t="str">
        <f t="shared" si="6"/>
        <v>Buy</v>
      </c>
      <c r="F134">
        <f t="shared" si="8"/>
        <v>1</v>
      </c>
      <c r="G134">
        <f t="shared" si="7"/>
        <v>1.3810099835150042E-2</v>
      </c>
      <c r="H134" s="12" cm="1">
        <f t="array" ref="H134">PRODUCT(1+G$2:G134)-1</f>
        <v>1.3810099835150025E-2</v>
      </c>
      <c r="I134">
        <f>H134-MAX(H$2:H134)</f>
        <v>0</v>
      </c>
      <c r="L134" s="2">
        <f>(B134-B$134)/B$134</f>
        <v>0</v>
      </c>
    </row>
    <row r="135" spans="1:12" x14ac:dyDescent="0.25">
      <c r="A135" s="1">
        <v>44105</v>
      </c>
      <c r="B135">
        <v>337.69000244140602</v>
      </c>
      <c r="C135">
        <v>335.494499206542</v>
      </c>
      <c r="D135">
        <v>335.52539978027301</v>
      </c>
      <c r="E135" t="str">
        <f t="shared" si="6"/>
        <v>Buy</v>
      </c>
      <c r="F135">
        <f t="shared" si="8"/>
        <v>1</v>
      </c>
      <c r="G135">
        <f t="shared" si="7"/>
        <v>-1.7738133172640631E-2</v>
      </c>
      <c r="H135" s="12" cm="1">
        <f t="array" ref="H135">PRODUCT(1+G$2:G135)-1</f>
        <v>-4.1729987274939928E-3</v>
      </c>
      <c r="I135">
        <f>H135-MAX(H$2:H135)</f>
        <v>-1.7983098562644018E-2</v>
      </c>
      <c r="L135" s="2">
        <f t="shared" ref="L135:L198" si="9">(B135-B$134)/B$134</f>
        <v>1.3810099835150042E-2</v>
      </c>
    </row>
    <row r="136" spans="1:12" x14ac:dyDescent="0.25">
      <c r="A136" s="1">
        <v>44106</v>
      </c>
      <c r="B136">
        <v>331.70001220703102</v>
      </c>
      <c r="C136">
        <v>334.286000061035</v>
      </c>
      <c r="D136">
        <v>335.62999999999897</v>
      </c>
      <c r="E136" t="str">
        <f t="shared" si="6"/>
        <v>Buy</v>
      </c>
      <c r="F136">
        <f t="shared" si="8"/>
        <v>1</v>
      </c>
      <c r="G136">
        <f t="shared" si="7"/>
        <v>1.3144362951788792E-2</v>
      </c>
      <c r="H136" s="12" cm="1">
        <f t="array" ref="H136">PRODUCT(1+G$2:G136)-1</f>
        <v>8.9165128144232941E-3</v>
      </c>
      <c r="I136">
        <f>H136-MAX(H$2:H136)</f>
        <v>-4.8935870207267307E-3</v>
      </c>
      <c r="L136" s="2">
        <f t="shared" si="9"/>
        <v>-4.1729987274939434E-3</v>
      </c>
    </row>
    <row r="137" spans="1:12" x14ac:dyDescent="0.25">
      <c r="A137" s="1">
        <v>44109</v>
      </c>
      <c r="B137">
        <v>336.05999755859301</v>
      </c>
      <c r="C137">
        <v>333.78249969482403</v>
      </c>
      <c r="D137">
        <v>335.93219970703097</v>
      </c>
      <c r="E137" t="str">
        <f t="shared" si="6"/>
        <v>Hold</v>
      </c>
      <c r="F137">
        <f t="shared" si="8"/>
        <v>1</v>
      </c>
      <c r="G137">
        <f t="shared" si="7"/>
        <v>1.1456305812906836E-2</v>
      </c>
      <c r="H137" s="12" cm="1">
        <f t="array" ref="H137">PRODUCT(1+G$2:G137)-1</f>
        <v>2.0474968924916848E-2</v>
      </c>
      <c r="I137">
        <f>H137-MAX(H$2:H137)</f>
        <v>0</v>
      </c>
      <c r="L137" s="2">
        <f t="shared" si="9"/>
        <v>8.9165128144233149E-3</v>
      </c>
    </row>
    <row r="138" spans="1:12" x14ac:dyDescent="0.25">
      <c r="A138" s="1">
        <v>44110</v>
      </c>
      <c r="B138">
        <v>339.91000366210898</v>
      </c>
      <c r="C138">
        <v>333.94250030517497</v>
      </c>
      <c r="D138">
        <v>336.29779968261698</v>
      </c>
      <c r="E138" t="str">
        <f t="shared" si="6"/>
        <v>Hold</v>
      </c>
      <c r="F138">
        <f t="shared" si="8"/>
        <v>1</v>
      </c>
      <c r="G138">
        <f t="shared" si="7"/>
        <v>-5.2661249320021929E-3</v>
      </c>
      <c r="H138" s="12" cm="1">
        <f t="array" ref="H138">PRODUCT(1+G$2:G138)-1</f>
        <v>1.510102024857729E-2</v>
      </c>
      <c r="I138">
        <f>H138-MAX(H$2:H138)</f>
        <v>-5.3739486763395572E-3</v>
      </c>
      <c r="L138" s="2">
        <f t="shared" si="9"/>
        <v>2.0474968924916886E-2</v>
      </c>
    </row>
    <row r="139" spans="1:12" x14ac:dyDescent="0.25">
      <c r="A139" s="1">
        <v>44111</v>
      </c>
      <c r="B139">
        <v>338.11999511718699</v>
      </c>
      <c r="C139">
        <v>333.97100067138598</v>
      </c>
      <c r="D139">
        <v>336.61159973144498</v>
      </c>
      <c r="E139" t="str">
        <f t="shared" si="6"/>
        <v>Hold</v>
      </c>
      <c r="F139">
        <f t="shared" si="8"/>
        <v>1</v>
      </c>
      <c r="G139">
        <f t="shared" si="7"/>
        <v>1.3989148984486012E-2</v>
      </c>
      <c r="H139" s="12" cm="1">
        <f t="array" ref="H139">PRODUCT(1+G$2:G139)-1</f>
        <v>2.9301419655138439E-2</v>
      </c>
      <c r="I139">
        <f>H139-MAX(H$2:H139)</f>
        <v>0</v>
      </c>
      <c r="L139" s="2">
        <f t="shared" si="9"/>
        <v>1.5101020248577219E-2</v>
      </c>
    </row>
    <row r="140" spans="1:12" x14ac:dyDescent="0.25">
      <c r="A140" s="1">
        <v>44112</v>
      </c>
      <c r="B140">
        <v>342.850006103515</v>
      </c>
      <c r="C140">
        <v>334.02250061035102</v>
      </c>
      <c r="D140">
        <v>337.02619995117101</v>
      </c>
      <c r="E140" t="str">
        <f t="shared" si="6"/>
        <v>Hold</v>
      </c>
      <c r="F140">
        <f t="shared" si="8"/>
        <v>1</v>
      </c>
      <c r="G140">
        <f t="shared" si="7"/>
        <v>7.9043062763131389E-3</v>
      </c>
      <c r="H140" s="12" cm="1">
        <f t="array" ref="H140">PRODUCT(1+G$2:G140)-1</f>
        <v>3.7437333326736599E-2</v>
      </c>
      <c r="I140">
        <f>H140-MAX(H$2:H140)</f>
        <v>0</v>
      </c>
      <c r="L140" s="2">
        <f t="shared" si="9"/>
        <v>2.9301419655138317E-2</v>
      </c>
    </row>
    <row r="141" spans="1:12" x14ac:dyDescent="0.25">
      <c r="A141" s="1">
        <v>44113</v>
      </c>
      <c r="B141">
        <v>345.55999755859301</v>
      </c>
      <c r="C141">
        <v>334.50950012206999</v>
      </c>
      <c r="D141">
        <v>337.499400024414</v>
      </c>
      <c r="E141" t="str">
        <f t="shared" si="6"/>
        <v>Hold</v>
      </c>
      <c r="F141">
        <f t="shared" si="8"/>
        <v>1</v>
      </c>
      <c r="G141">
        <f t="shared" si="7"/>
        <v>1.1662225974560797E-2</v>
      </c>
      <c r="H141" s="12" cm="1">
        <f t="array" ref="H141">PRODUCT(1+G$2:G141)-1</f>
        <v>4.9536161942438817E-2</v>
      </c>
      <c r="I141">
        <f>H141-MAX(H$2:H141)</f>
        <v>0</v>
      </c>
      <c r="L141" s="2">
        <f t="shared" si="9"/>
        <v>3.7437333326736447E-2</v>
      </c>
    </row>
    <row r="142" spans="1:12" x14ac:dyDescent="0.25">
      <c r="A142" s="1">
        <v>44116</v>
      </c>
      <c r="B142">
        <v>349.58999633789</v>
      </c>
      <c r="C142">
        <v>335.11450042724601</v>
      </c>
      <c r="D142">
        <v>337.97320007324203</v>
      </c>
      <c r="E142" t="str">
        <f t="shared" si="6"/>
        <v>Hold</v>
      </c>
      <c r="F142">
        <f t="shared" si="8"/>
        <v>1</v>
      </c>
      <c r="G142">
        <f t="shared" si="7"/>
        <v>7.6947351743041539E-3</v>
      </c>
      <c r="H142" s="12" cm="1">
        <f t="array" ref="H142">PRODUCT(1+G$2:G142)-1</f>
        <v>5.7612064764441584E-2</v>
      </c>
      <c r="I142">
        <f>H142-MAX(H$2:H142)</f>
        <v>0</v>
      </c>
      <c r="L142" s="2">
        <f t="shared" si="9"/>
        <v>4.9536161942438602E-2</v>
      </c>
    </row>
    <row r="143" spans="1:12" x14ac:dyDescent="0.25">
      <c r="A143" s="1">
        <v>44117</v>
      </c>
      <c r="B143">
        <v>352.27999877929602</v>
      </c>
      <c r="C143">
        <v>335.67250061035099</v>
      </c>
      <c r="D143">
        <v>338.45239990234302</v>
      </c>
      <c r="E143" t="str">
        <f t="shared" si="6"/>
        <v>Hold</v>
      </c>
      <c r="F143">
        <f t="shared" si="8"/>
        <v>1</v>
      </c>
      <c r="G143">
        <f t="shared" si="7"/>
        <v>-4.3431326916024233E-3</v>
      </c>
      <c r="H143" s="12" cm="1">
        <f t="array" ref="H143">PRODUCT(1+G$2:G143)-1</f>
        <v>5.3018715230930047E-2</v>
      </c>
      <c r="I143">
        <f>H143-MAX(H$2:H143)</f>
        <v>-4.5933495335115371E-3</v>
      </c>
      <c r="L143" s="2">
        <f t="shared" si="9"/>
        <v>5.7612064764441265E-2</v>
      </c>
    </row>
    <row r="144" spans="1:12" x14ac:dyDescent="0.25">
      <c r="A144" s="1">
        <v>44118</v>
      </c>
      <c r="B144">
        <v>350.75</v>
      </c>
      <c r="C144">
        <v>336.13450012206999</v>
      </c>
      <c r="D144">
        <v>338.91020019531197</v>
      </c>
      <c r="E144" t="str">
        <f t="shared" si="6"/>
        <v>Hold</v>
      </c>
      <c r="F144">
        <f t="shared" si="8"/>
        <v>1</v>
      </c>
      <c r="G144">
        <f t="shared" si="7"/>
        <v>-2.0071300199349933E-2</v>
      </c>
      <c r="H144" s="12" cm="1">
        <f t="array" ref="H144">PRODUCT(1+G$2:G144)-1</f>
        <v>3.1883260481996301E-2</v>
      </c>
      <c r="I144">
        <f>H144-MAX(H$2:H144)</f>
        <v>-2.5728804282445283E-2</v>
      </c>
      <c r="L144" s="2">
        <f t="shared" si="9"/>
        <v>5.3018715230929679E-2</v>
      </c>
    </row>
    <row r="145" spans="1:12" x14ac:dyDescent="0.25">
      <c r="A145" s="1">
        <v>44119</v>
      </c>
      <c r="B145">
        <v>343.70999145507801</v>
      </c>
      <c r="C145">
        <v>336.64199981689399</v>
      </c>
      <c r="D145">
        <v>339.15499999999901</v>
      </c>
      <c r="E145" t="str">
        <f t="shared" si="6"/>
        <v>Hold</v>
      </c>
      <c r="F145">
        <f t="shared" si="8"/>
        <v>1</v>
      </c>
      <c r="G145">
        <f t="shared" si="7"/>
        <v>1.527450504937143E-2</v>
      </c>
      <c r="H145" s="12" cm="1">
        <f t="array" ref="H145">PRODUCT(1+G$2:G145)-1</f>
        <v>4.764476655459049E-2</v>
      </c>
      <c r="I145">
        <f>H145-MAX(H$2:H145)</f>
        <v>-9.9672982098510943E-3</v>
      </c>
      <c r="L145" s="2">
        <f t="shared" si="9"/>
        <v>3.1883260481995912E-2</v>
      </c>
    </row>
    <row r="146" spans="1:12" x14ac:dyDescent="0.25">
      <c r="A146" s="1">
        <v>44120</v>
      </c>
      <c r="B146">
        <v>348.95999145507801</v>
      </c>
      <c r="C146">
        <v>337.32149963378902</v>
      </c>
      <c r="D146">
        <v>339.504599609374</v>
      </c>
      <c r="E146" t="str">
        <f t="shared" si="6"/>
        <v>Hold</v>
      </c>
      <c r="F146">
        <f t="shared" si="8"/>
        <v>1</v>
      </c>
      <c r="G146">
        <f t="shared" si="7"/>
        <v>-8.8834699158897861E-4</v>
      </c>
      <c r="H146" s="12" cm="1">
        <f t="array" ref="H146">PRODUCT(1+G$2:G146)-1</f>
        <v>4.6714094477967816E-2</v>
      </c>
      <c r="I146">
        <f>H146-MAX(H$2:H146)</f>
        <v>-1.0897970286473768E-2</v>
      </c>
      <c r="L146" s="2">
        <f t="shared" si="9"/>
        <v>4.7644766554590011E-2</v>
      </c>
    </row>
    <row r="147" spans="1:12" x14ac:dyDescent="0.25">
      <c r="A147" s="1">
        <v>44123</v>
      </c>
      <c r="B147">
        <v>348.64999389648398</v>
      </c>
      <c r="C147">
        <v>338.46899871826099</v>
      </c>
      <c r="D147">
        <v>339.811999511718</v>
      </c>
      <c r="E147" t="str">
        <f t="shared" si="6"/>
        <v>Hold</v>
      </c>
      <c r="F147">
        <f t="shared" si="8"/>
        <v>1</v>
      </c>
      <c r="G147">
        <f t="shared" si="7"/>
        <v>-1.4885996077048276E-2</v>
      </c>
      <c r="H147" s="12" cm="1">
        <f t="array" ref="H147">PRODUCT(1+G$2:G147)-1</f>
        <v>3.1132712573777699E-2</v>
      </c>
      <c r="I147">
        <f>H147-MAX(H$2:H147)</f>
        <v>-2.6479352190663885E-2</v>
      </c>
      <c r="L147" s="2">
        <f t="shared" si="9"/>
        <v>4.6714094477967309E-2</v>
      </c>
    </row>
    <row r="148" spans="1:12" x14ac:dyDescent="0.25">
      <c r="A148" s="1">
        <v>44124</v>
      </c>
      <c r="B148">
        <v>343.45999145507801</v>
      </c>
      <c r="C148">
        <v>339.21349792480402</v>
      </c>
      <c r="D148">
        <v>339.97999938964801</v>
      </c>
      <c r="E148" t="str">
        <f t="shared" si="6"/>
        <v>Hold</v>
      </c>
      <c r="F148">
        <f t="shared" si="8"/>
        <v>1</v>
      </c>
      <c r="G148">
        <f t="shared" si="7"/>
        <v>-3.7851536146100225E-4</v>
      </c>
      <c r="H148" s="12" cm="1">
        <f t="array" ref="H148">PRODUCT(1+G$2:G148)-1</f>
        <v>3.0742413002363467E-2</v>
      </c>
      <c r="I148">
        <f>H148-MAX(H$2:H148)</f>
        <v>-2.6869651762078117E-2</v>
      </c>
      <c r="L148" s="2">
        <f t="shared" si="9"/>
        <v>3.1132712573777147E-2</v>
      </c>
    </row>
    <row r="149" spans="1:12" x14ac:dyDescent="0.25">
      <c r="A149" s="1">
        <v>44125</v>
      </c>
      <c r="B149">
        <v>343.329986572265</v>
      </c>
      <c r="C149">
        <v>339.83499755859299</v>
      </c>
      <c r="D149">
        <v>340.10959899902298</v>
      </c>
      <c r="E149" t="str">
        <f t="shared" si="6"/>
        <v>Sell</v>
      </c>
      <c r="F149">
        <f t="shared" si="8"/>
        <v>0</v>
      </c>
      <c r="G149">
        <f t="shared" si="7"/>
        <v>0</v>
      </c>
      <c r="H149" s="12" cm="1">
        <f t="array" ref="H149">PRODUCT(1+G$2:G149)-1</f>
        <v>3.0742413002363467E-2</v>
      </c>
      <c r="I149">
        <f>H149-MAX(H$2:H149)</f>
        <v>-2.6869651762078117E-2</v>
      </c>
      <c r="L149" s="2">
        <f t="shared" si="9"/>
        <v>3.0742413002363019E-2</v>
      </c>
    </row>
    <row r="150" spans="1:12" x14ac:dyDescent="0.25">
      <c r="A150" s="1">
        <v>44126</v>
      </c>
      <c r="B150">
        <v>342.95999145507801</v>
      </c>
      <c r="C150">
        <v>340.92199707031199</v>
      </c>
      <c r="D150">
        <v>340.25999877929598</v>
      </c>
      <c r="E150" t="str">
        <f t="shared" si="6"/>
        <v>Sell</v>
      </c>
      <c r="F150">
        <f t="shared" si="8"/>
        <v>0</v>
      </c>
      <c r="G150">
        <f t="shared" si="7"/>
        <v>0</v>
      </c>
      <c r="H150" s="12" cm="1">
        <f t="array" ref="H150">PRODUCT(1+G$2:G150)-1</f>
        <v>3.0742413002363467E-2</v>
      </c>
      <c r="I150">
        <f>H150-MAX(H$2:H150)</f>
        <v>-2.6869651762078117E-2</v>
      </c>
      <c r="L150" s="2">
        <f t="shared" si="9"/>
        <v>2.9631616757339614E-2</v>
      </c>
    </row>
    <row r="151" spans="1:12" x14ac:dyDescent="0.25">
      <c r="A151" s="1">
        <v>44127</v>
      </c>
      <c r="B151">
        <v>345.92999267578102</v>
      </c>
      <c r="C151">
        <v>342.08949737548801</v>
      </c>
      <c r="D151">
        <v>340.44639892578101</v>
      </c>
      <c r="E151" t="str">
        <f t="shared" si="6"/>
        <v>Sell</v>
      </c>
      <c r="F151">
        <f t="shared" si="8"/>
        <v>0</v>
      </c>
      <c r="G151">
        <f t="shared" si="7"/>
        <v>0</v>
      </c>
      <c r="H151" s="12" cm="1">
        <f t="array" ref="H151">PRODUCT(1+G$2:G151)-1</f>
        <v>3.0742413002363467E-2</v>
      </c>
      <c r="I151">
        <f>H151-MAX(H$2:H151)</f>
        <v>-2.6869651762078117E-2</v>
      </c>
      <c r="L151" s="2">
        <f t="shared" si="9"/>
        <v>3.8548129571762929E-2</v>
      </c>
    </row>
    <row r="152" spans="1:12" x14ac:dyDescent="0.25">
      <c r="A152" s="1">
        <v>44130</v>
      </c>
      <c r="B152">
        <v>342.13000488281199</v>
      </c>
      <c r="C152">
        <v>342.53499755859298</v>
      </c>
      <c r="D152">
        <v>340.56079895019502</v>
      </c>
      <c r="E152" t="str">
        <f t="shared" si="6"/>
        <v>Sell</v>
      </c>
      <c r="F152">
        <f t="shared" si="8"/>
        <v>0</v>
      </c>
      <c r="G152">
        <f t="shared" si="7"/>
        <v>0</v>
      </c>
      <c r="H152" s="12" cm="1">
        <f t="array" ref="H152">PRODUCT(1+G$2:G152)-1</f>
        <v>3.0742413002363467E-2</v>
      </c>
      <c r="I152">
        <f>H152-MAX(H$2:H152)</f>
        <v>-2.6869651762078117E-2</v>
      </c>
      <c r="L152" s="2">
        <f t="shared" si="9"/>
        <v>2.7139838014683903E-2</v>
      </c>
    </row>
    <row r="153" spans="1:12" x14ac:dyDescent="0.25">
      <c r="A153" s="1">
        <v>44131</v>
      </c>
      <c r="B153">
        <v>339.760009765625</v>
      </c>
      <c r="C153">
        <v>342.824497985839</v>
      </c>
      <c r="D153">
        <v>340.59719909667899</v>
      </c>
      <c r="E153" t="str">
        <f t="shared" si="6"/>
        <v>Hold</v>
      </c>
      <c r="F153">
        <f t="shared" si="8"/>
        <v>0</v>
      </c>
      <c r="G153">
        <f t="shared" si="7"/>
        <v>0</v>
      </c>
      <c r="H153" s="12" cm="1">
        <f t="array" ref="H153">PRODUCT(1+G$2:G153)-1</f>
        <v>3.0742413002363467E-2</v>
      </c>
      <c r="I153">
        <f>H153-MAX(H$2:H153)</f>
        <v>-2.6869651762078117E-2</v>
      </c>
      <c r="L153" s="2">
        <f t="shared" si="9"/>
        <v>2.0024658503910362E-2</v>
      </c>
    </row>
    <row r="154" spans="1:12" x14ac:dyDescent="0.25">
      <c r="A154" s="1">
        <v>44132</v>
      </c>
      <c r="B154">
        <v>332.100006103515</v>
      </c>
      <c r="C154">
        <v>342.77499847412099</v>
      </c>
      <c r="D154">
        <v>340.47239929199202</v>
      </c>
      <c r="E154" t="str">
        <f t="shared" si="6"/>
        <v>Hold</v>
      </c>
      <c r="F154">
        <f t="shared" si="8"/>
        <v>0</v>
      </c>
      <c r="G154">
        <f t="shared" si="7"/>
        <v>0</v>
      </c>
      <c r="H154" s="12" cm="1">
        <f t="array" ref="H154">PRODUCT(1+G$2:G154)-1</f>
        <v>3.0742413002363467E-2</v>
      </c>
      <c r="I154">
        <f>H154-MAX(H$2:H154)</f>
        <v>-2.6869651762078117E-2</v>
      </c>
      <c r="L154" s="2">
        <f t="shared" si="9"/>
        <v>-2.9721403982686514E-3</v>
      </c>
    </row>
    <row r="155" spans="1:12" x14ac:dyDescent="0.25">
      <c r="A155" s="1">
        <v>44133</v>
      </c>
      <c r="B155">
        <v>326.91000366210898</v>
      </c>
      <c r="C155">
        <v>342.235998535156</v>
      </c>
      <c r="D155">
        <v>340.22959960937402</v>
      </c>
      <c r="E155" t="str">
        <f t="shared" si="6"/>
        <v>Hold</v>
      </c>
      <c r="F155">
        <f t="shared" si="8"/>
        <v>0</v>
      </c>
      <c r="G155">
        <f t="shared" si="7"/>
        <v>0</v>
      </c>
      <c r="H155" s="12" cm="1">
        <f t="array" ref="H155">PRODUCT(1+G$2:G155)-1</f>
        <v>3.0742413002363467E-2</v>
      </c>
      <c r="I155">
        <f>H155-MAX(H$2:H155)</f>
        <v>-2.6869651762078117E-2</v>
      </c>
      <c r="L155" s="2">
        <f t="shared" si="9"/>
        <v>-1.8553522302458981E-2</v>
      </c>
    </row>
    <row r="156" spans="1:12" x14ac:dyDescent="0.25">
      <c r="A156" s="1">
        <v>44134</v>
      </c>
      <c r="B156">
        <v>328.27999877929602</v>
      </c>
      <c r="C156">
        <v>342.06499786376901</v>
      </c>
      <c r="D156">
        <v>340.08799987792901</v>
      </c>
      <c r="E156" t="str">
        <f t="shared" si="6"/>
        <v>Hold</v>
      </c>
      <c r="F156">
        <f t="shared" si="8"/>
        <v>0</v>
      </c>
      <c r="G156">
        <f t="shared" si="7"/>
        <v>0</v>
      </c>
      <c r="H156" s="12" cm="1">
        <f t="array" ref="H156">PRODUCT(1+G$2:G156)-1</f>
        <v>3.0742413002363467E-2</v>
      </c>
      <c r="I156">
        <f>H156-MAX(H$2:H156)</f>
        <v>-2.6869651762078117E-2</v>
      </c>
      <c r="L156" s="2">
        <f t="shared" si="9"/>
        <v>-1.4440534424560338E-2</v>
      </c>
    </row>
    <row r="157" spans="1:12" x14ac:dyDescent="0.25">
      <c r="A157" s="1">
        <v>44137</v>
      </c>
      <c r="B157">
        <v>330.20001220703102</v>
      </c>
      <c r="C157">
        <v>341.771998596191</v>
      </c>
      <c r="D157">
        <v>339.93359985351498</v>
      </c>
      <c r="E157" t="str">
        <f t="shared" si="6"/>
        <v>Hold</v>
      </c>
      <c r="F157">
        <f t="shared" si="8"/>
        <v>0</v>
      </c>
      <c r="G157">
        <f t="shared" si="7"/>
        <v>0</v>
      </c>
      <c r="H157" s="12" cm="1">
        <f t="array" ref="H157">PRODUCT(1+G$2:G157)-1</f>
        <v>3.0742413002363467E-2</v>
      </c>
      <c r="I157">
        <f>H157-MAX(H$2:H157)</f>
        <v>-2.6869651762078117E-2</v>
      </c>
      <c r="L157" s="2">
        <f t="shared" si="9"/>
        <v>-8.6762861768065434E-3</v>
      </c>
    </row>
    <row r="158" spans="1:12" x14ac:dyDescent="0.25">
      <c r="A158" s="1">
        <v>44138</v>
      </c>
      <c r="B158">
        <v>333.69000244140602</v>
      </c>
      <c r="C158">
        <v>341.46099853515602</v>
      </c>
      <c r="D158">
        <v>339.76499999999902</v>
      </c>
      <c r="E158" t="str">
        <f t="shared" si="6"/>
        <v>Sell</v>
      </c>
      <c r="F158">
        <f t="shared" si="8"/>
        <v>0</v>
      </c>
      <c r="G158">
        <f t="shared" si="7"/>
        <v>0</v>
      </c>
      <c r="H158" s="12" cm="1">
        <f t="array" ref="H158">PRODUCT(1+G$2:G158)-1</f>
        <v>3.0742413002363467E-2</v>
      </c>
      <c r="I158">
        <f>H158-MAX(H$2:H158)</f>
        <v>-2.6869651762078117E-2</v>
      </c>
      <c r="L158" s="2">
        <f t="shared" si="9"/>
        <v>1.8013333036497753E-3</v>
      </c>
    </row>
    <row r="159" spans="1:12" x14ac:dyDescent="0.25">
      <c r="A159" s="1">
        <v>44139</v>
      </c>
      <c r="B159">
        <v>340.85998535156199</v>
      </c>
      <c r="C159">
        <v>341.59799804687401</v>
      </c>
      <c r="D159">
        <v>339.71159973144501</v>
      </c>
      <c r="E159" t="str">
        <f t="shared" si="6"/>
        <v>Sell</v>
      </c>
      <c r="F159">
        <f t="shared" si="8"/>
        <v>0</v>
      </c>
      <c r="G159">
        <f t="shared" si="7"/>
        <v>0</v>
      </c>
      <c r="H159" s="12" cm="1">
        <f t="array" ref="H159">PRODUCT(1+G$2:G159)-1</f>
        <v>3.0742413002363467E-2</v>
      </c>
      <c r="I159">
        <f>H159-MAX(H$2:H159)</f>
        <v>-2.6869651762078117E-2</v>
      </c>
      <c r="L159" s="2">
        <f t="shared" si="9"/>
        <v>2.3326996004377237E-2</v>
      </c>
    </row>
    <row r="160" spans="1:12" x14ac:dyDescent="0.25">
      <c r="A160" s="1">
        <v>44140</v>
      </c>
      <c r="B160">
        <v>349.239990234375</v>
      </c>
      <c r="C160">
        <v>341.91749725341703</v>
      </c>
      <c r="D160">
        <v>339.80119934082001</v>
      </c>
      <c r="E160" t="str">
        <f t="shared" si="6"/>
        <v>Sell</v>
      </c>
      <c r="F160">
        <f t="shared" si="8"/>
        <v>0</v>
      </c>
      <c r="G160">
        <f t="shared" si="7"/>
        <v>0</v>
      </c>
      <c r="H160" s="12" cm="1">
        <f t="array" ref="H160">PRODUCT(1+G$2:G160)-1</f>
        <v>3.0742413002363467E-2</v>
      </c>
      <c r="I160">
        <f>H160-MAX(H$2:H160)</f>
        <v>-2.6869651762078117E-2</v>
      </c>
      <c r="L160" s="2">
        <f t="shared" si="9"/>
        <v>4.8485376547010663E-2</v>
      </c>
    </row>
    <row r="161" spans="1:12" x14ac:dyDescent="0.25">
      <c r="A161" s="1">
        <v>44141</v>
      </c>
      <c r="B161">
        <v>349.92999267578102</v>
      </c>
      <c r="C161">
        <v>342.13599700927699</v>
      </c>
      <c r="D161">
        <v>339.82959899902301</v>
      </c>
      <c r="E161" t="str">
        <f t="shared" si="6"/>
        <v>Sell</v>
      </c>
      <c r="F161">
        <f t="shared" si="8"/>
        <v>0</v>
      </c>
      <c r="G161">
        <f t="shared" si="7"/>
        <v>0</v>
      </c>
      <c r="H161" s="12" cm="1">
        <f t="array" ref="H161">PRODUCT(1+G$2:G161)-1</f>
        <v>3.0742413002363467E-2</v>
      </c>
      <c r="I161">
        <f>H161-MAX(H$2:H161)</f>
        <v>-2.6869651762078117E-2</v>
      </c>
      <c r="L161" s="2">
        <f t="shared" si="9"/>
        <v>5.0556896103263194E-2</v>
      </c>
    </row>
    <row r="162" spans="1:12" x14ac:dyDescent="0.25">
      <c r="A162" s="1">
        <v>44144</v>
      </c>
      <c r="B162">
        <v>363.97000122070301</v>
      </c>
      <c r="C162">
        <v>342.85499725341703</v>
      </c>
      <c r="D162">
        <v>340.12019897460902</v>
      </c>
      <c r="E162" t="str">
        <f t="shared" si="6"/>
        <v>Sell</v>
      </c>
      <c r="F162">
        <f t="shared" si="8"/>
        <v>0</v>
      </c>
      <c r="G162">
        <f t="shared" si="7"/>
        <v>0</v>
      </c>
      <c r="H162" s="12" cm="1">
        <f t="array" ref="H162">PRODUCT(1+G$2:G162)-1</f>
        <v>3.0742413002363467E-2</v>
      </c>
      <c r="I162">
        <f>H162-MAX(H$2:H162)</f>
        <v>-2.6869651762078117E-2</v>
      </c>
      <c r="L162" s="2">
        <f t="shared" si="9"/>
        <v>9.2707692282322438E-2</v>
      </c>
    </row>
    <row r="163" spans="1:12" x14ac:dyDescent="0.25">
      <c r="A163" s="1">
        <v>44145</v>
      </c>
      <c r="B163">
        <v>353.489990234375</v>
      </c>
      <c r="C163">
        <v>342.91549682617102</v>
      </c>
      <c r="D163">
        <v>340.18299865722599</v>
      </c>
      <c r="E163" t="str">
        <f t="shared" si="6"/>
        <v>Sell</v>
      </c>
      <c r="F163">
        <f t="shared" si="8"/>
        <v>0</v>
      </c>
      <c r="G163">
        <f t="shared" si="7"/>
        <v>0</v>
      </c>
      <c r="H163" s="12" cm="1">
        <f t="array" ref="H163">PRODUCT(1+G$2:G163)-1</f>
        <v>3.0742413002363467E-2</v>
      </c>
      <c r="I163">
        <f>H163-MAX(H$2:H163)</f>
        <v>-2.6869651762078117E-2</v>
      </c>
      <c r="L163" s="2">
        <f t="shared" si="9"/>
        <v>6.1244690986729702E-2</v>
      </c>
    </row>
    <row r="164" spans="1:12" x14ac:dyDescent="0.25">
      <c r="A164" s="1">
        <v>44146</v>
      </c>
      <c r="B164">
        <v>356.39999389648398</v>
      </c>
      <c r="C164">
        <v>343.19799652099601</v>
      </c>
      <c r="D164">
        <v>340.306798706054</v>
      </c>
      <c r="E164" t="str">
        <f t="shared" si="6"/>
        <v>Sell</v>
      </c>
      <c r="F164">
        <f t="shared" si="8"/>
        <v>0</v>
      </c>
      <c r="G164">
        <f t="shared" si="7"/>
        <v>0</v>
      </c>
      <c r="H164" s="12" cm="1">
        <f t="array" ref="H164">PRODUCT(1+G$2:G164)-1</f>
        <v>3.0742413002363467E-2</v>
      </c>
      <c r="I164">
        <f>H164-MAX(H$2:H164)</f>
        <v>-2.6869651762078117E-2</v>
      </c>
      <c r="L164" s="2">
        <f t="shared" si="9"/>
        <v>6.9981079632749077E-2</v>
      </c>
    </row>
    <row r="165" spans="1:12" x14ac:dyDescent="0.25">
      <c r="A165" s="1">
        <v>44147</v>
      </c>
      <c r="B165">
        <v>355.579986572265</v>
      </c>
      <c r="C165">
        <v>343.79149627685501</v>
      </c>
      <c r="D165">
        <v>340.324998168945</v>
      </c>
      <c r="E165" t="str">
        <f t="shared" si="6"/>
        <v>Sell</v>
      </c>
      <c r="F165">
        <f t="shared" si="8"/>
        <v>0</v>
      </c>
      <c r="G165">
        <f t="shared" si="7"/>
        <v>0</v>
      </c>
      <c r="H165" s="12" cm="1">
        <f t="array" ref="H165">PRODUCT(1+G$2:G165)-1</f>
        <v>3.0742413002363467E-2</v>
      </c>
      <c r="I165">
        <f>H165-MAX(H$2:H165)</f>
        <v>-2.6869651762078117E-2</v>
      </c>
      <c r="L165" s="2">
        <f t="shared" si="9"/>
        <v>6.7519260505082584E-2</v>
      </c>
    </row>
    <row r="166" spans="1:12" x14ac:dyDescent="0.25">
      <c r="A166" s="1">
        <v>44148</v>
      </c>
      <c r="B166">
        <v>355.26998901367102</v>
      </c>
      <c r="C166">
        <v>344.10699615478501</v>
      </c>
      <c r="D166">
        <v>340.31299804687399</v>
      </c>
      <c r="E166" t="str">
        <f t="shared" si="6"/>
        <v>Sell</v>
      </c>
      <c r="F166">
        <f t="shared" si="8"/>
        <v>0</v>
      </c>
      <c r="G166">
        <f t="shared" si="7"/>
        <v>0</v>
      </c>
      <c r="H166" s="12" cm="1">
        <f t="array" ref="H166">PRODUCT(1+G$2:G166)-1</f>
        <v>3.0742413002363467E-2</v>
      </c>
      <c r="I166">
        <f>H166-MAX(H$2:H166)</f>
        <v>-2.6869651762078117E-2</v>
      </c>
      <c r="L166" s="2">
        <f t="shared" si="9"/>
        <v>6.6588588428460049E-2</v>
      </c>
    </row>
    <row r="167" spans="1:12" x14ac:dyDescent="0.25">
      <c r="A167" s="1">
        <v>44151</v>
      </c>
      <c r="B167">
        <v>360.98001098632801</v>
      </c>
      <c r="C167">
        <v>344.72349700927703</v>
      </c>
      <c r="D167">
        <v>340.60999816894503</v>
      </c>
      <c r="E167" t="str">
        <f t="shared" si="6"/>
        <v>Sell</v>
      </c>
      <c r="F167">
        <f t="shared" si="8"/>
        <v>0</v>
      </c>
      <c r="G167">
        <f t="shared" si="7"/>
        <v>0</v>
      </c>
      <c r="H167" s="12" cm="1">
        <f t="array" ref="H167">PRODUCT(1+G$2:G167)-1</f>
        <v>3.0742413002363467E-2</v>
      </c>
      <c r="I167">
        <f>H167-MAX(H$2:H167)</f>
        <v>-2.6869651762078117E-2</v>
      </c>
      <c r="L167" s="2">
        <f t="shared" si="9"/>
        <v>8.3731168618303653E-2</v>
      </c>
    </row>
    <row r="168" spans="1:12" x14ac:dyDescent="0.25">
      <c r="A168" s="1">
        <v>44152</v>
      </c>
      <c r="B168">
        <v>359.97000122070301</v>
      </c>
      <c r="C168">
        <v>345.54899749755799</v>
      </c>
      <c r="D168">
        <v>341.07519836425701</v>
      </c>
      <c r="E168" t="str">
        <f t="shared" si="6"/>
        <v>Sell</v>
      </c>
      <c r="F168">
        <f t="shared" si="8"/>
        <v>0</v>
      </c>
      <c r="G168">
        <f t="shared" si="7"/>
        <v>0</v>
      </c>
      <c r="H168" s="12" cm="1">
        <f t="array" ref="H168">PRODUCT(1+G$2:G168)-1</f>
        <v>3.0742413002363467E-2</v>
      </c>
      <c r="I168">
        <f>H168-MAX(H$2:H168)</f>
        <v>-2.6869651762078117E-2</v>
      </c>
      <c r="L168" s="2">
        <f t="shared" si="9"/>
        <v>8.0698925750822159E-2</v>
      </c>
    </row>
    <row r="169" spans="1:12" x14ac:dyDescent="0.25">
      <c r="A169" s="1">
        <v>44153</v>
      </c>
      <c r="B169">
        <v>360.91000366210898</v>
      </c>
      <c r="C169">
        <v>346.42799835205</v>
      </c>
      <c r="D169">
        <v>341.54239868164001</v>
      </c>
      <c r="E169" t="str">
        <f t="shared" si="6"/>
        <v>Sell</v>
      </c>
      <c r="F169">
        <f t="shared" si="8"/>
        <v>0</v>
      </c>
      <c r="G169">
        <f t="shared" si="7"/>
        <v>0</v>
      </c>
      <c r="H169" s="12" cm="1">
        <f t="array" ref="H169">PRODUCT(1+G$2:G169)-1</f>
        <v>3.0742413002363467E-2</v>
      </c>
      <c r="I169">
        <f>H169-MAX(H$2:H169)</f>
        <v>-2.6869651762078117E-2</v>
      </c>
      <c r="L169" s="2">
        <f t="shared" si="9"/>
        <v>8.3520993215293285E-2</v>
      </c>
    </row>
    <row r="170" spans="1:12" x14ac:dyDescent="0.25">
      <c r="A170" s="1">
        <v>44154</v>
      </c>
      <c r="B170">
        <v>355.600006103515</v>
      </c>
      <c r="C170">
        <v>347.059999084472</v>
      </c>
      <c r="D170">
        <v>341.81799865722598</v>
      </c>
      <c r="E170" t="str">
        <f t="shared" si="6"/>
        <v>Sell</v>
      </c>
      <c r="F170">
        <f t="shared" si="8"/>
        <v>0</v>
      </c>
      <c r="G170">
        <f t="shared" si="7"/>
        <v>0</v>
      </c>
      <c r="H170" s="12" cm="1">
        <f t="array" ref="H170">PRODUCT(1+G$2:G170)-1</f>
        <v>3.0742413002363467E-2</v>
      </c>
      <c r="I170">
        <f>H170-MAX(H$2:H170)</f>
        <v>-2.6869651762078117E-2</v>
      </c>
      <c r="L170" s="2">
        <f t="shared" si="9"/>
        <v>6.7579362974295412E-2</v>
      </c>
    </row>
    <row r="171" spans="1:12" x14ac:dyDescent="0.25">
      <c r="A171" s="1">
        <v>44155</v>
      </c>
      <c r="B171">
        <v>357.5</v>
      </c>
      <c r="C171">
        <v>347.63849945068301</v>
      </c>
      <c r="D171">
        <v>342.25159851074199</v>
      </c>
      <c r="E171" t="str">
        <f t="shared" si="6"/>
        <v>Sell</v>
      </c>
      <c r="F171">
        <f t="shared" si="8"/>
        <v>0</v>
      </c>
      <c r="G171">
        <f t="shared" si="7"/>
        <v>0</v>
      </c>
      <c r="H171" s="12" cm="1">
        <f t="array" ref="H171">PRODUCT(1+G$2:G171)-1</f>
        <v>3.0742413002363467E-2</v>
      </c>
      <c r="I171">
        <f>H171-MAX(H$2:H171)</f>
        <v>-2.6869651762078117E-2</v>
      </c>
      <c r="L171" s="2">
        <f t="shared" si="9"/>
        <v>7.3283508752836388E-2</v>
      </c>
    </row>
    <row r="172" spans="1:12" x14ac:dyDescent="0.25">
      <c r="A172" s="1">
        <v>44158</v>
      </c>
      <c r="B172">
        <v>357.27999877929602</v>
      </c>
      <c r="C172">
        <v>348.39599914550701</v>
      </c>
      <c r="D172">
        <v>342.64739868164003</v>
      </c>
      <c r="E172" t="str">
        <f t="shared" si="6"/>
        <v>Sell</v>
      </c>
      <c r="F172">
        <f t="shared" si="8"/>
        <v>0</v>
      </c>
      <c r="G172">
        <f t="shared" si="7"/>
        <v>0</v>
      </c>
      <c r="H172" s="12" cm="1">
        <f t="array" ref="H172">PRODUCT(1+G$2:G172)-1</f>
        <v>3.0742413002363467E-2</v>
      </c>
      <c r="I172">
        <f>H172-MAX(H$2:H172)</f>
        <v>-2.6869651762078117E-2</v>
      </c>
      <c r="L172" s="2">
        <f t="shared" si="9"/>
        <v>7.2623022928816602E-2</v>
      </c>
    </row>
    <row r="173" spans="1:12" x14ac:dyDescent="0.25">
      <c r="A173" s="1">
        <v>44159</v>
      </c>
      <c r="B173">
        <v>360.20999145507801</v>
      </c>
      <c r="C173">
        <v>349.41849822998</v>
      </c>
      <c r="D173">
        <v>343.02919860839802</v>
      </c>
      <c r="E173" t="str">
        <f t="shared" si="6"/>
        <v>Sell</v>
      </c>
      <c r="F173">
        <f t="shared" si="8"/>
        <v>0</v>
      </c>
      <c r="G173">
        <f t="shared" si="7"/>
        <v>0</v>
      </c>
      <c r="H173" s="12" cm="1">
        <f t="array" ref="H173">PRODUCT(1+G$2:G173)-1</f>
        <v>3.0742413002363467E-2</v>
      </c>
      <c r="I173">
        <f>H173-MAX(H$2:H173)</f>
        <v>-2.6869651762078117E-2</v>
      </c>
      <c r="L173" s="2">
        <f t="shared" si="9"/>
        <v>8.141942242443452E-2</v>
      </c>
    </row>
    <row r="174" spans="1:12" x14ac:dyDescent="0.25">
      <c r="A174" s="1">
        <v>44160</v>
      </c>
      <c r="B174">
        <v>363.13000488281199</v>
      </c>
      <c r="C174">
        <v>350.96999816894498</v>
      </c>
      <c r="D174">
        <v>343.46159851074202</v>
      </c>
      <c r="E174" t="str">
        <f t="shared" si="6"/>
        <v>Sell</v>
      </c>
      <c r="F174">
        <f t="shared" si="8"/>
        <v>0</v>
      </c>
      <c r="G174">
        <f t="shared" si="7"/>
        <v>0</v>
      </c>
      <c r="H174" s="12" cm="1">
        <f t="array" ref="H174">PRODUCT(1+G$2:G174)-1</f>
        <v>3.0742413002363467E-2</v>
      </c>
      <c r="I174">
        <f>H174-MAX(H$2:H174)</f>
        <v>-2.6869651762078117E-2</v>
      </c>
      <c r="L174" s="2">
        <f t="shared" si="9"/>
        <v>9.0185862305060302E-2</v>
      </c>
    </row>
    <row r="175" spans="1:12" x14ac:dyDescent="0.25">
      <c r="A175" s="1">
        <v>44162</v>
      </c>
      <c r="B175">
        <v>363.83999633789</v>
      </c>
      <c r="C175">
        <v>352.81649780273398</v>
      </c>
      <c r="D175">
        <v>344.06719848632798</v>
      </c>
      <c r="E175" t="str">
        <f t="shared" si="6"/>
        <v>Sell</v>
      </c>
      <c r="F175">
        <f t="shared" si="8"/>
        <v>0</v>
      </c>
      <c r="G175">
        <f t="shared" si="7"/>
        <v>0</v>
      </c>
      <c r="H175" s="12" cm="1">
        <f t="array" ref="H175">PRODUCT(1+G$2:G175)-1</f>
        <v>3.0742413002363467E-2</v>
      </c>
      <c r="I175">
        <f>H175-MAX(H$2:H175)</f>
        <v>-2.6869651762078117E-2</v>
      </c>
      <c r="L175" s="2">
        <f t="shared" si="9"/>
        <v>9.2317392710908303E-2</v>
      </c>
    </row>
    <row r="176" spans="1:12" x14ac:dyDescent="0.25">
      <c r="A176" s="1">
        <v>44165</v>
      </c>
      <c r="B176">
        <v>362.829986572265</v>
      </c>
      <c r="C176">
        <v>354.54399719238199</v>
      </c>
      <c r="D176">
        <v>344.61639831542902</v>
      </c>
      <c r="E176" t="str">
        <f t="shared" si="6"/>
        <v>Sell</v>
      </c>
      <c r="F176">
        <f t="shared" si="8"/>
        <v>0</v>
      </c>
      <c r="G176">
        <f t="shared" si="7"/>
        <v>0</v>
      </c>
      <c r="H176" s="12" cm="1">
        <f t="array" ref="H176">PRODUCT(1+G$2:G176)-1</f>
        <v>3.0742413002363467E-2</v>
      </c>
      <c r="I176">
        <f>H176-MAX(H$2:H176)</f>
        <v>-2.6869651762078117E-2</v>
      </c>
      <c r="L176" s="2">
        <f t="shared" si="9"/>
        <v>8.9285149843426823E-2</v>
      </c>
    </row>
    <row r="177" spans="1:12" x14ac:dyDescent="0.25">
      <c r="A177" s="1">
        <v>44166</v>
      </c>
      <c r="B177">
        <v>365.57000732421801</v>
      </c>
      <c r="C177">
        <v>356.31249694824203</v>
      </c>
      <c r="D177">
        <v>345.41379821777298</v>
      </c>
      <c r="E177" t="str">
        <f t="shared" si="6"/>
        <v>Sell</v>
      </c>
      <c r="F177">
        <f t="shared" si="8"/>
        <v>0</v>
      </c>
      <c r="G177">
        <f t="shared" si="7"/>
        <v>0</v>
      </c>
      <c r="H177" s="12" cm="1">
        <f t="array" ref="H177">PRODUCT(1+G$2:G177)-1</f>
        <v>3.0742413002363467E-2</v>
      </c>
      <c r="I177">
        <f>H177-MAX(H$2:H177)</f>
        <v>-2.6869651762078117E-2</v>
      </c>
      <c r="L177" s="2">
        <f t="shared" si="9"/>
        <v>9.7511217218844204E-2</v>
      </c>
    </row>
    <row r="178" spans="1:12" x14ac:dyDescent="0.25">
      <c r="A178" s="1">
        <v>44167</v>
      </c>
      <c r="B178">
        <v>364.82000732421801</v>
      </c>
      <c r="C178">
        <v>357.86899719238198</v>
      </c>
      <c r="D178">
        <v>346.138798217773</v>
      </c>
      <c r="E178" t="str">
        <f t="shared" si="6"/>
        <v>Sell</v>
      </c>
      <c r="F178">
        <f t="shared" si="8"/>
        <v>0</v>
      </c>
      <c r="G178">
        <f t="shared" si="7"/>
        <v>0</v>
      </c>
      <c r="H178" s="12" cm="1">
        <f t="array" ref="H178">PRODUCT(1+G$2:G178)-1</f>
        <v>3.0742413002363467E-2</v>
      </c>
      <c r="I178">
        <f>H178-MAX(H$2:H178)</f>
        <v>-2.6869651762078117E-2</v>
      </c>
      <c r="L178" s="2">
        <f t="shared" si="9"/>
        <v>9.5259573494187899E-2</v>
      </c>
    </row>
    <row r="179" spans="1:12" x14ac:dyDescent="0.25">
      <c r="A179" s="1">
        <v>44168</v>
      </c>
      <c r="B179">
        <v>366.67999267578102</v>
      </c>
      <c r="C179">
        <v>359.15999755859298</v>
      </c>
      <c r="D179">
        <v>346.85439819335897</v>
      </c>
      <c r="E179" t="str">
        <f t="shared" si="6"/>
        <v>Sell</v>
      </c>
      <c r="F179">
        <f t="shared" si="8"/>
        <v>0</v>
      </c>
      <c r="G179">
        <f t="shared" si="7"/>
        <v>0</v>
      </c>
      <c r="H179" s="12" cm="1">
        <f t="array" ref="H179">PRODUCT(1+G$2:G179)-1</f>
        <v>3.0742413002363467E-2</v>
      </c>
      <c r="I179">
        <f>H179-MAX(H$2:H179)</f>
        <v>-2.6869651762078117E-2</v>
      </c>
      <c r="L179" s="2">
        <f t="shared" si="9"/>
        <v>0.10084360595392057</v>
      </c>
    </row>
    <row r="180" spans="1:12" x14ac:dyDescent="0.25">
      <c r="A180" s="1">
        <v>44169</v>
      </c>
      <c r="B180">
        <v>367.32000732421801</v>
      </c>
      <c r="C180">
        <v>360.06399841308502</v>
      </c>
      <c r="D180">
        <v>347.77639831542899</v>
      </c>
      <c r="E180" t="str">
        <f t="shared" si="6"/>
        <v>Sell</v>
      </c>
      <c r="F180">
        <f t="shared" si="8"/>
        <v>0</v>
      </c>
      <c r="G180">
        <f t="shared" si="7"/>
        <v>0</v>
      </c>
      <c r="H180" s="12" cm="1">
        <f t="array" ref="H180">PRODUCT(1+G$2:G180)-1</f>
        <v>3.0742413002363467E-2</v>
      </c>
      <c r="I180">
        <f>H180-MAX(H$2:H180)</f>
        <v>-2.6869651762078117E-2</v>
      </c>
      <c r="L180" s="2">
        <f t="shared" si="9"/>
        <v>0.10276505257637557</v>
      </c>
    </row>
    <row r="181" spans="1:12" x14ac:dyDescent="0.25">
      <c r="A181" s="1">
        <v>44172</v>
      </c>
      <c r="B181">
        <v>369.01998901367102</v>
      </c>
      <c r="C181">
        <v>361.01849822998003</v>
      </c>
      <c r="D181">
        <v>348.705198364257</v>
      </c>
      <c r="E181" t="str">
        <f t="shared" si="6"/>
        <v>Sell</v>
      </c>
      <c r="F181">
        <f t="shared" si="8"/>
        <v>0</v>
      </c>
      <c r="G181">
        <f t="shared" si="7"/>
        <v>0</v>
      </c>
      <c r="H181" s="12" cm="1">
        <f t="array" ref="H181">PRODUCT(1+G$2:G181)-1</f>
        <v>3.0742413002363467E-2</v>
      </c>
      <c r="I181">
        <f>H181-MAX(H$2:H181)</f>
        <v>-2.6869651762078117E-2</v>
      </c>
      <c r="L181" s="2">
        <f t="shared" si="9"/>
        <v>0.10786872338049222</v>
      </c>
    </row>
    <row r="182" spans="1:12" x14ac:dyDescent="0.25">
      <c r="A182" s="1">
        <v>44173</v>
      </c>
      <c r="B182">
        <v>367.72000122070301</v>
      </c>
      <c r="C182">
        <v>361.20599822998003</v>
      </c>
      <c r="D182">
        <v>349.395198364257</v>
      </c>
      <c r="E182" t="str">
        <f t="shared" si="6"/>
        <v>Sell</v>
      </c>
      <c r="F182">
        <f t="shared" si="8"/>
        <v>0</v>
      </c>
      <c r="G182">
        <f t="shared" si="7"/>
        <v>0</v>
      </c>
      <c r="H182" s="12" cm="1">
        <f t="array" ref="H182">PRODUCT(1+G$2:G182)-1</f>
        <v>3.0742413002363467E-2</v>
      </c>
      <c r="I182">
        <f>H182-MAX(H$2:H182)</f>
        <v>-2.6869651762078117E-2</v>
      </c>
      <c r="L182" s="2">
        <f t="shared" si="9"/>
        <v>0.10396591090560393</v>
      </c>
    </row>
    <row r="183" spans="1:12" x14ac:dyDescent="0.25">
      <c r="A183" s="1">
        <v>44174</v>
      </c>
      <c r="B183">
        <v>370.88000488281199</v>
      </c>
      <c r="C183">
        <v>362.07549896240198</v>
      </c>
      <c r="D183">
        <v>350.13339843749901</v>
      </c>
      <c r="E183" t="str">
        <f t="shared" si="6"/>
        <v>Sell</v>
      </c>
      <c r="F183">
        <f t="shared" si="8"/>
        <v>0</v>
      </c>
      <c r="G183">
        <f t="shared" si="7"/>
        <v>0</v>
      </c>
      <c r="H183" s="12" cm="1">
        <f t="array" ref="H183">PRODUCT(1+G$2:G183)-1</f>
        <v>3.0742413002363467E-2</v>
      </c>
      <c r="I183">
        <f>H183-MAX(H$2:H183)</f>
        <v>-2.6869651762078117E-2</v>
      </c>
      <c r="L183" s="2">
        <f t="shared" si="9"/>
        <v>0.11345284745984208</v>
      </c>
    </row>
    <row r="184" spans="1:12" x14ac:dyDescent="0.25">
      <c r="A184" s="1">
        <v>44175</v>
      </c>
      <c r="B184">
        <v>365.36999511718699</v>
      </c>
      <c r="C184">
        <v>362.523999023437</v>
      </c>
      <c r="D184">
        <v>350.77899841308499</v>
      </c>
      <c r="E184" t="str">
        <f t="shared" si="6"/>
        <v>Sell</v>
      </c>
      <c r="F184">
        <f t="shared" si="8"/>
        <v>0</v>
      </c>
      <c r="G184">
        <f t="shared" si="7"/>
        <v>0</v>
      </c>
      <c r="H184" s="12" cm="1">
        <f t="array" ref="H184">PRODUCT(1+G$2:G184)-1</f>
        <v>3.0742413002363467E-2</v>
      </c>
      <c r="I184">
        <f>H184-MAX(H$2:H184)</f>
        <v>-2.6869651762078117E-2</v>
      </c>
      <c r="L184" s="2">
        <f t="shared" si="9"/>
        <v>9.6910742244422796E-2</v>
      </c>
    </row>
    <row r="185" spans="1:12" x14ac:dyDescent="0.25">
      <c r="A185" s="1">
        <v>44176</v>
      </c>
      <c r="B185">
        <v>364.89999389648398</v>
      </c>
      <c r="C185">
        <v>362.98999938964801</v>
      </c>
      <c r="D185">
        <v>351.323198242187</v>
      </c>
      <c r="E185" t="str">
        <f t="shared" si="6"/>
        <v>Sell</v>
      </c>
      <c r="F185">
        <f t="shared" si="8"/>
        <v>0</v>
      </c>
      <c r="G185">
        <f t="shared" si="7"/>
        <v>0</v>
      </c>
      <c r="H185" s="12" cm="1">
        <f t="array" ref="H185">PRODUCT(1+G$2:G185)-1</f>
        <v>3.0742413002363467E-2</v>
      </c>
      <c r="I185">
        <f>H185-MAX(H$2:H185)</f>
        <v>-2.6869651762078117E-2</v>
      </c>
      <c r="L185" s="2">
        <f t="shared" si="9"/>
        <v>9.5499708512187143E-2</v>
      </c>
    </row>
    <row r="186" spans="1:12" x14ac:dyDescent="0.25">
      <c r="A186" s="1">
        <v>44179</v>
      </c>
      <c r="B186">
        <v>368.64001464843699</v>
      </c>
      <c r="C186">
        <v>363.65850067138598</v>
      </c>
      <c r="D186">
        <v>352.06199829101502</v>
      </c>
      <c r="E186" t="str">
        <f t="shared" si="6"/>
        <v>Sell</v>
      </c>
      <c r="F186">
        <f t="shared" si="8"/>
        <v>0</v>
      </c>
      <c r="G186">
        <f t="shared" si="7"/>
        <v>0</v>
      </c>
      <c r="H186" s="12" cm="1">
        <f t="array" ref="H186">PRODUCT(1+G$2:G186)-1</f>
        <v>3.0742413002363467E-2</v>
      </c>
      <c r="I186">
        <f>H186-MAX(H$2:H186)</f>
        <v>-2.6869651762078117E-2</v>
      </c>
      <c r="L186" s="2">
        <f t="shared" si="9"/>
        <v>0.10672796752047958</v>
      </c>
    </row>
    <row r="187" spans="1:12" x14ac:dyDescent="0.25">
      <c r="A187" s="1">
        <v>44180</v>
      </c>
      <c r="B187">
        <v>367.39999389648398</v>
      </c>
      <c r="C187">
        <v>363.97949981689402</v>
      </c>
      <c r="D187">
        <v>352.68879821777301</v>
      </c>
      <c r="E187" t="str">
        <f t="shared" si="6"/>
        <v>Sell</v>
      </c>
      <c r="F187">
        <f t="shared" si="8"/>
        <v>0</v>
      </c>
      <c r="G187">
        <f t="shared" si="7"/>
        <v>0</v>
      </c>
      <c r="H187" s="12" cm="1">
        <f t="array" ref="H187">PRODUCT(1+G$2:G187)-1</f>
        <v>3.0742413002363467E-2</v>
      </c>
      <c r="I187">
        <f>H187-MAX(H$2:H187)</f>
        <v>-2.6869651762078117E-2</v>
      </c>
      <c r="L187" s="2">
        <f t="shared" si="9"/>
        <v>0.10300518759437481</v>
      </c>
    </row>
    <row r="188" spans="1:12" x14ac:dyDescent="0.25">
      <c r="A188" s="1">
        <v>44181</v>
      </c>
      <c r="B188">
        <v>369.82000732421801</v>
      </c>
      <c r="C188">
        <v>364.47200012207003</v>
      </c>
      <c r="D188">
        <v>353.28699829101498</v>
      </c>
      <c r="E188" t="str">
        <f t="shared" si="6"/>
        <v>Sell</v>
      </c>
      <c r="F188">
        <f t="shared" si="8"/>
        <v>0</v>
      </c>
      <c r="G188">
        <f t="shared" si="7"/>
        <v>0</v>
      </c>
      <c r="H188" s="12" cm="1">
        <f t="array" ref="H188">PRODUCT(1+G$2:G188)-1</f>
        <v>3.0742413002363467E-2</v>
      </c>
      <c r="I188">
        <f>H188-MAX(H$2:H188)</f>
        <v>-2.6869651762078117E-2</v>
      </c>
      <c r="L188" s="2">
        <f t="shared" si="9"/>
        <v>0.11027053165856324</v>
      </c>
    </row>
    <row r="189" spans="1:12" x14ac:dyDescent="0.25">
      <c r="A189" s="1">
        <v>44182</v>
      </c>
      <c r="B189">
        <v>371.94000244140602</v>
      </c>
      <c r="C189">
        <v>365.02350006103501</v>
      </c>
      <c r="D189">
        <v>353.963398437499</v>
      </c>
      <c r="E189" t="str">
        <f t="shared" si="6"/>
        <v>Sell</v>
      </c>
      <c r="F189">
        <f t="shared" si="8"/>
        <v>0</v>
      </c>
      <c r="G189">
        <f t="shared" si="7"/>
        <v>0</v>
      </c>
      <c r="H189" s="12" cm="1">
        <f t="array" ref="H189">PRODUCT(1+G$2:G189)-1</f>
        <v>3.0742413002363467E-2</v>
      </c>
      <c r="I189">
        <f>H189-MAX(H$2:H189)</f>
        <v>-2.6869651762078117E-2</v>
      </c>
      <c r="L189" s="2">
        <f t="shared" si="9"/>
        <v>0.11663516326112108</v>
      </c>
    </row>
    <row r="190" spans="1:12" x14ac:dyDescent="0.25">
      <c r="A190" s="1">
        <v>44183</v>
      </c>
      <c r="B190">
        <v>370.97000122070301</v>
      </c>
      <c r="C190">
        <v>365.79199981689402</v>
      </c>
      <c r="D190">
        <v>354.52579833984299</v>
      </c>
      <c r="E190" t="str">
        <f t="shared" si="6"/>
        <v>Sell</v>
      </c>
      <c r="F190">
        <f t="shared" si="8"/>
        <v>0</v>
      </c>
      <c r="G190">
        <f t="shared" si="7"/>
        <v>0</v>
      </c>
      <c r="H190" s="12" cm="1">
        <f t="array" ref="H190">PRODUCT(1+G$2:G190)-1</f>
        <v>3.0742413002363467E-2</v>
      </c>
      <c r="I190">
        <f>H190-MAX(H$2:H190)</f>
        <v>-2.6869651762078117E-2</v>
      </c>
      <c r="L190" s="2">
        <f t="shared" si="9"/>
        <v>0.11372303371244789</v>
      </c>
    </row>
    <row r="191" spans="1:12" x14ac:dyDescent="0.25">
      <c r="A191" s="1">
        <v>44186</v>
      </c>
      <c r="B191">
        <v>364.97000122070301</v>
      </c>
      <c r="C191">
        <v>366.16549987792899</v>
      </c>
      <c r="D191">
        <v>354.91399841308498</v>
      </c>
      <c r="E191" t="str">
        <f t="shared" si="6"/>
        <v>Sell</v>
      </c>
      <c r="F191">
        <f t="shared" si="8"/>
        <v>0</v>
      </c>
      <c r="G191">
        <f t="shared" si="7"/>
        <v>0</v>
      </c>
      <c r="H191" s="12" cm="1">
        <f t="array" ref="H191">PRODUCT(1+G$2:G191)-1</f>
        <v>3.0742413002363467E-2</v>
      </c>
      <c r="I191">
        <f>H191-MAX(H$2:H191)</f>
        <v>-2.6869651762078117E-2</v>
      </c>
      <c r="L191" s="2">
        <f t="shared" si="9"/>
        <v>9.5709883915197497E-2</v>
      </c>
    </row>
    <row r="192" spans="1:12" x14ac:dyDescent="0.25">
      <c r="A192" s="1">
        <v>44187</v>
      </c>
      <c r="B192">
        <v>368.20999145507801</v>
      </c>
      <c r="C192">
        <v>366.71199951171798</v>
      </c>
      <c r="D192">
        <v>355.28639831542898</v>
      </c>
      <c r="E192" t="str">
        <f t="shared" si="6"/>
        <v>Sell</v>
      </c>
      <c r="F192">
        <f t="shared" si="8"/>
        <v>0</v>
      </c>
      <c r="G192">
        <f t="shared" si="7"/>
        <v>0</v>
      </c>
      <c r="H192" s="12" cm="1">
        <f t="array" ref="H192">PRODUCT(1+G$2:G192)-1</f>
        <v>3.0742413002363467E-2</v>
      </c>
      <c r="I192">
        <f>H192-MAX(H$2:H192)</f>
        <v>-2.6869651762078117E-2</v>
      </c>
      <c r="L192" s="2">
        <f t="shared" si="9"/>
        <v>0.10543695548743505</v>
      </c>
    </row>
    <row r="193" spans="1:12" x14ac:dyDescent="0.25">
      <c r="A193" s="1">
        <v>44188</v>
      </c>
      <c r="B193">
        <v>368.27999877929602</v>
      </c>
      <c r="C193">
        <v>367.11549987792898</v>
      </c>
      <c r="D193">
        <v>355.60639831542898</v>
      </c>
      <c r="E193" t="str">
        <f t="shared" si="6"/>
        <v>Sell</v>
      </c>
      <c r="F193">
        <f t="shared" si="8"/>
        <v>0</v>
      </c>
      <c r="G193">
        <f t="shared" si="7"/>
        <v>0</v>
      </c>
      <c r="H193" s="12" cm="1">
        <f t="array" ref="H193">PRODUCT(1+G$2:G193)-1</f>
        <v>3.0742413002363467E-2</v>
      </c>
      <c r="I193">
        <f>H193-MAX(H$2:H193)</f>
        <v>-2.6869651762078117E-2</v>
      </c>
      <c r="L193" s="2">
        <f t="shared" si="9"/>
        <v>0.10564713089044234</v>
      </c>
    </row>
    <row r="194" spans="1:12" x14ac:dyDescent="0.25">
      <c r="A194" s="1">
        <v>44189</v>
      </c>
      <c r="B194">
        <v>368.079986572265</v>
      </c>
      <c r="C194">
        <v>367.362998962402</v>
      </c>
      <c r="D194">
        <v>355.95299804687397</v>
      </c>
      <c r="E194" t="str">
        <f t="shared" si="6"/>
        <v>Sell</v>
      </c>
      <c r="F194">
        <f t="shared" si="8"/>
        <v>0</v>
      </c>
      <c r="G194">
        <f t="shared" si="7"/>
        <v>0</v>
      </c>
      <c r="H194" s="12" cm="1">
        <f t="array" ref="H194">PRODUCT(1+G$2:G194)-1</f>
        <v>3.0742413002363467E-2</v>
      </c>
      <c r="I194">
        <f>H194-MAX(H$2:H194)</f>
        <v>-2.6869651762078117E-2</v>
      </c>
      <c r="L194" s="2">
        <f t="shared" si="9"/>
        <v>0.10504665591602093</v>
      </c>
    </row>
    <row r="195" spans="1:12" x14ac:dyDescent="0.25">
      <c r="A195" s="1">
        <v>44193</v>
      </c>
      <c r="B195">
        <v>371.739990234375</v>
      </c>
      <c r="C195">
        <v>367.75799865722598</v>
      </c>
      <c r="D195">
        <v>356.51359802245997</v>
      </c>
      <c r="E195" t="str">
        <f t="shared" ref="E195:E258" si="10">IF(OR(ISBLANK(C195),ISBLANK(D195),ISBLANK(C196),ISBLANK(D196)), "Hold", IF(AND(C195&gt;C196,C196&lt;=D196), "Buy", IF(AND(C195&lt;C196,C196&gt;=D196), "Sell", "Hold")))</f>
        <v>Sell</v>
      </c>
      <c r="F195">
        <f t="shared" si="8"/>
        <v>0</v>
      </c>
      <c r="G195">
        <f t="shared" ref="G195:G258" si="11">IF(F195=1,(B196-B195)/B195,0)</f>
        <v>0</v>
      </c>
      <c r="H195" s="12" cm="1">
        <f t="array" ref="H195">PRODUCT(1+G$2:G195)-1</f>
        <v>3.0742413002363467E-2</v>
      </c>
      <c r="I195">
        <f>H195-MAX(H$2:H195)</f>
        <v>-2.6869651762078117E-2</v>
      </c>
      <c r="L195" s="2">
        <f t="shared" si="9"/>
        <v>0.11603468828669967</v>
      </c>
    </row>
    <row r="196" spans="1:12" x14ac:dyDescent="0.25">
      <c r="A196" s="1">
        <v>44194</v>
      </c>
      <c r="B196">
        <v>373.80999755859301</v>
      </c>
      <c r="C196">
        <v>368.306999206542</v>
      </c>
      <c r="D196">
        <v>357.010598144531</v>
      </c>
      <c r="E196" t="str">
        <f t="shared" si="10"/>
        <v>Sell</v>
      </c>
      <c r="F196">
        <f t="shared" ref="F196:F259" si="12">IF(E196="Buy",1, IF(E196="Sell",0,F195))</f>
        <v>0</v>
      </c>
      <c r="G196">
        <f t="shared" si="11"/>
        <v>0</v>
      </c>
      <c r="H196" s="12" cm="1">
        <f t="array" ref="H196">PRODUCT(1+G$2:G196)-1</f>
        <v>3.0742413002363467E-2</v>
      </c>
      <c r="I196">
        <f>H196-MAX(H$2:H196)</f>
        <v>-2.6869651762078117E-2</v>
      </c>
      <c r="L196" s="2">
        <f t="shared" si="9"/>
        <v>0.12224924695545708</v>
      </c>
    </row>
    <row r="197" spans="1:12" x14ac:dyDescent="0.25">
      <c r="A197" s="1">
        <v>44195</v>
      </c>
      <c r="B197">
        <v>372.33999633789</v>
      </c>
      <c r="C197">
        <v>368.64549865722603</v>
      </c>
      <c r="D197">
        <v>357.48439819335903</v>
      </c>
      <c r="E197" t="str">
        <f t="shared" si="10"/>
        <v>Sell</v>
      </c>
      <c r="F197">
        <f t="shared" si="12"/>
        <v>0</v>
      </c>
      <c r="G197">
        <f t="shared" si="11"/>
        <v>0</v>
      </c>
      <c r="H197" s="12" cm="1">
        <f t="array" ref="H197">PRODUCT(1+G$2:G197)-1</f>
        <v>3.0742413002363467E-2</v>
      </c>
      <c r="I197">
        <f>H197-MAX(H$2:H197)</f>
        <v>-2.6869651762078117E-2</v>
      </c>
      <c r="L197" s="2">
        <f t="shared" si="9"/>
        <v>0.11783602159034637</v>
      </c>
    </row>
    <row r="198" spans="1:12" x14ac:dyDescent="0.25">
      <c r="A198" s="1">
        <v>44196</v>
      </c>
      <c r="B198">
        <v>371.77999877929602</v>
      </c>
      <c r="C198">
        <v>368.99349822997999</v>
      </c>
      <c r="D198">
        <v>358.05079833984303</v>
      </c>
      <c r="E198" t="str">
        <f t="shared" si="10"/>
        <v>Sell</v>
      </c>
      <c r="F198">
        <f t="shared" si="12"/>
        <v>0</v>
      </c>
      <c r="G198">
        <f t="shared" si="11"/>
        <v>0</v>
      </c>
      <c r="H198" s="12" cm="1">
        <f t="array" ref="H198">PRODUCT(1+G$2:G198)-1</f>
        <v>3.0742413002363467E-2</v>
      </c>
      <c r="I198">
        <f>H198-MAX(H$2:H198)</f>
        <v>-2.6869651762078117E-2</v>
      </c>
      <c r="L198" s="2">
        <f t="shared" si="9"/>
        <v>0.11615480160550506</v>
      </c>
    </row>
    <row r="199" spans="1:12" x14ac:dyDescent="0.25">
      <c r="A199" s="1">
        <v>44200</v>
      </c>
      <c r="B199">
        <v>375.30999755859301</v>
      </c>
      <c r="C199">
        <v>369.42499847412103</v>
      </c>
      <c r="D199">
        <v>358.69039855956999</v>
      </c>
      <c r="E199" t="str">
        <f t="shared" si="10"/>
        <v>Sell</v>
      </c>
      <c r="F199">
        <f t="shared" si="12"/>
        <v>0</v>
      </c>
      <c r="G199">
        <f t="shared" si="11"/>
        <v>0</v>
      </c>
      <c r="H199" s="12" cm="1">
        <f t="array" ref="H199">PRODUCT(1+G$2:G199)-1</f>
        <v>3.0742413002363467E-2</v>
      </c>
      <c r="I199">
        <f>H199-MAX(H$2:H199)</f>
        <v>-2.6869651762078117E-2</v>
      </c>
      <c r="L199" s="2">
        <f t="shared" ref="L199:L262" si="13">(B199-B$134)/B$134</f>
        <v>0.12675253440476969</v>
      </c>
    </row>
    <row r="200" spans="1:12" x14ac:dyDescent="0.25">
      <c r="A200" s="1">
        <v>44201</v>
      </c>
      <c r="B200">
        <v>368.100006103515</v>
      </c>
      <c r="C200">
        <v>369.46399841308499</v>
      </c>
      <c r="D200">
        <v>359.19319885253901</v>
      </c>
      <c r="E200" t="str">
        <f t="shared" si="10"/>
        <v>Sell</v>
      </c>
      <c r="F200">
        <f t="shared" si="12"/>
        <v>0</v>
      </c>
      <c r="G200">
        <f t="shared" si="11"/>
        <v>0</v>
      </c>
      <c r="H200" s="12" cm="1">
        <f t="array" ref="H200">PRODUCT(1+G$2:G200)-1</f>
        <v>3.0742413002363467E-2</v>
      </c>
      <c r="I200">
        <f>H200-MAX(H$2:H200)</f>
        <v>-2.6869651762078117E-2</v>
      </c>
      <c r="L200" s="2">
        <f t="shared" si="13"/>
        <v>0.10510675838523376</v>
      </c>
    </row>
    <row r="201" spans="1:12" x14ac:dyDescent="0.25">
      <c r="A201" s="1">
        <v>44202</v>
      </c>
      <c r="B201">
        <v>369.70999145507801</v>
      </c>
      <c r="C201">
        <v>369.49849853515599</v>
      </c>
      <c r="D201">
        <v>359.66879882812401</v>
      </c>
      <c r="E201" t="str">
        <f t="shared" si="10"/>
        <v>Sell</v>
      </c>
      <c r="F201">
        <f t="shared" si="12"/>
        <v>0</v>
      </c>
      <c r="G201">
        <f t="shared" si="11"/>
        <v>0</v>
      </c>
      <c r="H201" s="12" cm="1">
        <f t="array" ref="H201">PRODUCT(1+G$2:G201)-1</f>
        <v>3.0742413002363467E-2</v>
      </c>
      <c r="I201">
        <f>H201-MAX(H$2:H201)</f>
        <v>-2.6869651762078117E-2</v>
      </c>
      <c r="L201" s="2">
        <f t="shared" si="13"/>
        <v>0.10994024293674765</v>
      </c>
    </row>
    <row r="202" spans="1:12" x14ac:dyDescent="0.25">
      <c r="A202" s="1">
        <v>44203</v>
      </c>
      <c r="B202">
        <v>376.100006103515</v>
      </c>
      <c r="C202">
        <v>369.91749877929601</v>
      </c>
      <c r="D202">
        <v>360.34819885253899</v>
      </c>
      <c r="E202" t="str">
        <f t="shared" si="10"/>
        <v>Sell</v>
      </c>
      <c r="F202">
        <f t="shared" si="12"/>
        <v>0</v>
      </c>
      <c r="G202">
        <f t="shared" si="11"/>
        <v>0</v>
      </c>
      <c r="H202" s="12" cm="1">
        <f t="array" ref="H202">PRODUCT(1+G$2:G202)-1</f>
        <v>3.0742413002363467E-2</v>
      </c>
      <c r="I202">
        <f>H202-MAX(H$2:H202)</f>
        <v>-2.6869651762078117E-2</v>
      </c>
      <c r="L202" s="2">
        <f t="shared" si="13"/>
        <v>0.12912429144823429</v>
      </c>
    </row>
    <row r="203" spans="1:12" x14ac:dyDescent="0.25">
      <c r="A203" s="1">
        <v>44204</v>
      </c>
      <c r="B203">
        <v>380.58999633789</v>
      </c>
      <c r="C203">
        <v>370.40299835205002</v>
      </c>
      <c r="D203">
        <v>361.16479858398401</v>
      </c>
      <c r="E203" t="str">
        <f t="shared" si="10"/>
        <v>Sell</v>
      </c>
      <c r="F203">
        <f t="shared" si="12"/>
        <v>0</v>
      </c>
      <c r="G203">
        <f t="shared" si="11"/>
        <v>0</v>
      </c>
      <c r="H203" s="12" cm="1">
        <f t="array" ref="H203">PRODUCT(1+G$2:G203)-1</f>
        <v>3.0742413002363467E-2</v>
      </c>
      <c r="I203">
        <f>H203-MAX(H$2:H203)</f>
        <v>-2.6869651762078117E-2</v>
      </c>
      <c r="L203" s="2">
        <f t="shared" si="13"/>
        <v>0.14260410256156567</v>
      </c>
    </row>
    <row r="204" spans="1:12" x14ac:dyDescent="0.25">
      <c r="A204" s="1">
        <v>44207</v>
      </c>
      <c r="B204">
        <v>377.850006103515</v>
      </c>
      <c r="C204">
        <v>371.02699890136699</v>
      </c>
      <c r="D204">
        <v>362.07979858398397</v>
      </c>
      <c r="E204" t="str">
        <f t="shared" si="10"/>
        <v>Sell</v>
      </c>
      <c r="F204">
        <f t="shared" si="12"/>
        <v>0</v>
      </c>
      <c r="G204">
        <f t="shared" si="11"/>
        <v>0</v>
      </c>
      <c r="H204" s="12" cm="1">
        <f t="array" ref="H204">PRODUCT(1+G$2:G204)-1</f>
        <v>3.0742413002363467E-2</v>
      </c>
      <c r="I204">
        <f>H204-MAX(H$2:H204)</f>
        <v>-2.6869651762078117E-2</v>
      </c>
      <c r="L204" s="2">
        <f t="shared" si="13"/>
        <v>0.13437812680576566</v>
      </c>
    </row>
    <row r="205" spans="1:12" x14ac:dyDescent="0.25">
      <c r="A205" s="1">
        <v>44208</v>
      </c>
      <c r="B205">
        <v>378.89001464843699</v>
      </c>
      <c r="C205">
        <v>371.72649993896403</v>
      </c>
      <c r="D205">
        <v>363.11939880371</v>
      </c>
      <c r="E205" t="str">
        <f t="shared" si="10"/>
        <v>Sell</v>
      </c>
      <c r="F205">
        <f t="shared" si="12"/>
        <v>0</v>
      </c>
      <c r="G205">
        <f t="shared" si="11"/>
        <v>0</v>
      </c>
      <c r="H205" s="12" cm="1">
        <f t="array" ref="H205">PRODUCT(1+G$2:G205)-1</f>
        <v>3.0742413002363467E-2</v>
      </c>
      <c r="I205">
        <f>H205-MAX(H$2:H205)</f>
        <v>-2.6869651762078117E-2</v>
      </c>
      <c r="L205" s="2">
        <f t="shared" si="13"/>
        <v>0.13750043175744903</v>
      </c>
    </row>
    <row r="206" spans="1:12" x14ac:dyDescent="0.25">
      <c r="A206" s="1">
        <v>44209</v>
      </c>
      <c r="B206">
        <v>378.69000244140602</v>
      </c>
      <c r="C206">
        <v>372.22899932861299</v>
      </c>
      <c r="D206">
        <v>364.12759887695302</v>
      </c>
      <c r="E206" t="str">
        <f t="shared" si="10"/>
        <v>Sell</v>
      </c>
      <c r="F206">
        <f t="shared" si="12"/>
        <v>0</v>
      </c>
      <c r="G206">
        <f t="shared" si="11"/>
        <v>0</v>
      </c>
      <c r="H206" s="12" cm="1">
        <f t="array" ref="H206">PRODUCT(1+G$2:G206)-1</f>
        <v>3.0742413002363467E-2</v>
      </c>
      <c r="I206">
        <f>H206-MAX(H$2:H206)</f>
        <v>-2.6869651762078117E-2</v>
      </c>
      <c r="L206" s="2">
        <f t="shared" si="13"/>
        <v>0.13689995678302777</v>
      </c>
    </row>
    <row r="207" spans="1:12" x14ac:dyDescent="0.25">
      <c r="A207" s="1">
        <v>44210</v>
      </c>
      <c r="B207">
        <v>380.58999633789</v>
      </c>
      <c r="C207">
        <v>372.88849945068301</v>
      </c>
      <c r="D207">
        <v>365.13539855956998</v>
      </c>
      <c r="E207" t="str">
        <f t="shared" si="10"/>
        <v>Sell</v>
      </c>
      <c r="F207">
        <f t="shared" si="12"/>
        <v>0</v>
      </c>
      <c r="G207">
        <f t="shared" si="11"/>
        <v>0</v>
      </c>
      <c r="H207" s="12" cm="1">
        <f t="array" ref="H207">PRODUCT(1+G$2:G207)-1</f>
        <v>3.0742413002363467E-2</v>
      </c>
      <c r="I207">
        <f>H207-MAX(H$2:H207)</f>
        <v>-2.6869651762078117E-2</v>
      </c>
      <c r="L207" s="2">
        <f t="shared" si="13"/>
        <v>0.14260410256156567</v>
      </c>
    </row>
    <row r="208" spans="1:12" x14ac:dyDescent="0.25">
      <c r="A208" s="1">
        <v>44211</v>
      </c>
      <c r="B208">
        <v>376.72000122070301</v>
      </c>
      <c r="C208">
        <v>373.23349914550698</v>
      </c>
      <c r="D208">
        <v>365.99599853515599</v>
      </c>
      <c r="E208" t="str">
        <f t="shared" si="10"/>
        <v>Sell</v>
      </c>
      <c r="F208">
        <f t="shared" si="12"/>
        <v>0</v>
      </c>
      <c r="G208">
        <f t="shared" si="11"/>
        <v>0</v>
      </c>
      <c r="H208" s="12" cm="1">
        <f t="array" ref="H208">PRODUCT(1+G$2:G208)-1</f>
        <v>3.0742413002363467E-2</v>
      </c>
      <c r="I208">
        <f>H208-MAX(H$2:H208)</f>
        <v>-2.6869651762078117E-2</v>
      </c>
      <c r="L208" s="2">
        <f t="shared" si="13"/>
        <v>0.13098563560147952</v>
      </c>
    </row>
    <row r="209" spans="1:12" x14ac:dyDescent="0.25">
      <c r="A209" s="1">
        <v>44215</v>
      </c>
      <c r="B209">
        <v>378.33999633789</v>
      </c>
      <c r="C209">
        <v>373.553498840332</v>
      </c>
      <c r="D209">
        <v>366.745598754882</v>
      </c>
      <c r="E209" t="str">
        <f t="shared" si="10"/>
        <v>Sell</v>
      </c>
      <c r="F209">
        <f t="shared" si="12"/>
        <v>0</v>
      </c>
      <c r="G209">
        <f t="shared" si="11"/>
        <v>0</v>
      </c>
      <c r="H209" s="12" cm="1">
        <f t="array" ref="H209">PRODUCT(1+G$2:G209)-1</f>
        <v>3.0742413002363467E-2</v>
      </c>
      <c r="I209">
        <f>H209-MAX(H$2:H209)</f>
        <v>-2.6869651762078117E-2</v>
      </c>
      <c r="L209" s="2">
        <f t="shared" si="13"/>
        <v>0.13584917138759678</v>
      </c>
    </row>
    <row r="210" spans="1:12" x14ac:dyDescent="0.25">
      <c r="A210" s="1">
        <v>44216</v>
      </c>
      <c r="B210">
        <v>381.10998535156199</v>
      </c>
      <c r="C210">
        <v>374.06049804687399</v>
      </c>
      <c r="D210">
        <v>367.38299865722598</v>
      </c>
      <c r="E210" t="str">
        <f t="shared" si="10"/>
        <v>Sell</v>
      </c>
      <c r="F210">
        <f t="shared" si="12"/>
        <v>0</v>
      </c>
      <c r="G210">
        <f t="shared" si="11"/>
        <v>0</v>
      </c>
      <c r="H210" s="12" cm="1">
        <f t="array" ref="H210">PRODUCT(1+G$2:G210)-1</f>
        <v>3.0742413002363467E-2</v>
      </c>
      <c r="I210">
        <f>H210-MAX(H$2:H210)</f>
        <v>-2.6869651762078117E-2</v>
      </c>
      <c r="L210" s="2">
        <f t="shared" si="13"/>
        <v>0.14416520922759868</v>
      </c>
    </row>
    <row r="211" spans="1:12" x14ac:dyDescent="0.25">
      <c r="A211" s="1">
        <v>44217</v>
      </c>
      <c r="B211">
        <v>384.489990234375</v>
      </c>
      <c r="C211">
        <v>375.036497497558</v>
      </c>
      <c r="D211">
        <v>368.07419860839798</v>
      </c>
      <c r="E211" t="str">
        <f t="shared" si="10"/>
        <v>Sell</v>
      </c>
      <c r="F211">
        <f t="shared" si="12"/>
        <v>0</v>
      </c>
      <c r="G211">
        <f t="shared" si="11"/>
        <v>0</v>
      </c>
      <c r="H211" s="12" cm="1">
        <f t="array" ref="H211">PRODUCT(1+G$2:G211)-1</f>
        <v>3.0742413002363467E-2</v>
      </c>
      <c r="I211">
        <f>H211-MAX(H$2:H211)</f>
        <v>-2.6869651762078117E-2</v>
      </c>
      <c r="L211" s="2">
        <f t="shared" si="13"/>
        <v>0.15431263160585676</v>
      </c>
    </row>
    <row r="212" spans="1:12" x14ac:dyDescent="0.25">
      <c r="A212" s="1">
        <v>44218</v>
      </c>
      <c r="B212">
        <v>382.25</v>
      </c>
      <c r="C212">
        <v>375.73849792480399</v>
      </c>
      <c r="D212">
        <v>368.43979858398399</v>
      </c>
      <c r="E212" t="str">
        <f t="shared" si="10"/>
        <v>Sell</v>
      </c>
      <c r="F212">
        <f t="shared" si="12"/>
        <v>0</v>
      </c>
      <c r="G212">
        <f t="shared" si="11"/>
        <v>0</v>
      </c>
      <c r="H212" s="12" cm="1">
        <f t="array" ref="H212">PRODUCT(1+G$2:G212)-1</f>
        <v>3.0742413002363467E-2</v>
      </c>
      <c r="I212">
        <f>H212-MAX(H$2:H212)</f>
        <v>-2.6869651762078117E-2</v>
      </c>
      <c r="L212" s="2">
        <f t="shared" si="13"/>
        <v>0.14758775166649429</v>
      </c>
    </row>
    <row r="213" spans="1:12" x14ac:dyDescent="0.25">
      <c r="A213" s="1">
        <v>44221</v>
      </c>
      <c r="B213">
        <v>383.67001342773398</v>
      </c>
      <c r="C213">
        <v>376.50799865722598</v>
      </c>
      <c r="D213">
        <v>369.04339904785098</v>
      </c>
      <c r="E213" t="str">
        <f t="shared" si="10"/>
        <v>Sell</v>
      </c>
      <c r="F213">
        <f t="shared" si="12"/>
        <v>0</v>
      </c>
      <c r="G213">
        <f t="shared" si="11"/>
        <v>0</v>
      </c>
      <c r="H213" s="12" cm="1">
        <f t="array" ref="H213">PRODUCT(1+G$2:G213)-1</f>
        <v>3.0742413002363467E-2</v>
      </c>
      <c r="I213">
        <f>H213-MAX(H$2:H213)</f>
        <v>-2.6869651762078117E-2</v>
      </c>
      <c r="L213" s="2">
        <f t="shared" si="13"/>
        <v>0.15185090409780747</v>
      </c>
    </row>
    <row r="214" spans="1:12" x14ac:dyDescent="0.25">
      <c r="A214" s="1">
        <v>44222</v>
      </c>
      <c r="B214">
        <v>385.41000366210898</v>
      </c>
      <c r="C214">
        <v>377.374499511718</v>
      </c>
      <c r="D214">
        <v>369.62359924316399</v>
      </c>
      <c r="E214" t="str">
        <f t="shared" si="10"/>
        <v>Sell</v>
      </c>
      <c r="F214">
        <f t="shared" si="12"/>
        <v>0</v>
      </c>
      <c r="G214">
        <f t="shared" si="11"/>
        <v>0</v>
      </c>
      <c r="H214" s="12" cm="1">
        <f t="array" ref="H214">PRODUCT(1+G$2:G214)-1</f>
        <v>3.0742413002363467E-2</v>
      </c>
      <c r="I214">
        <f>H214-MAX(H$2:H214)</f>
        <v>-2.6869651762078117E-2</v>
      </c>
      <c r="L214" s="2">
        <f t="shared" si="13"/>
        <v>0.15707468822073242</v>
      </c>
    </row>
    <row r="215" spans="1:12" x14ac:dyDescent="0.25">
      <c r="A215" s="1">
        <v>44223</v>
      </c>
      <c r="B215">
        <v>380.22000122070301</v>
      </c>
      <c r="C215">
        <v>377.79850006103499</v>
      </c>
      <c r="D215">
        <v>370.11639953613201</v>
      </c>
      <c r="E215" t="str">
        <f t="shared" si="10"/>
        <v>Sell</v>
      </c>
      <c r="F215">
        <f t="shared" si="12"/>
        <v>0</v>
      </c>
      <c r="G215">
        <f t="shared" si="11"/>
        <v>0</v>
      </c>
      <c r="H215" s="12" cm="1">
        <f t="array" ref="H215">PRODUCT(1+G$2:G215)-1</f>
        <v>3.0742413002363467E-2</v>
      </c>
      <c r="I215">
        <f>H215-MAX(H$2:H215)</f>
        <v>-2.6869651762078117E-2</v>
      </c>
      <c r="L215" s="2">
        <f t="shared" si="13"/>
        <v>0.14149330631654228</v>
      </c>
    </row>
    <row r="216" spans="1:12" x14ac:dyDescent="0.25">
      <c r="A216" s="1">
        <v>44224</v>
      </c>
      <c r="B216">
        <v>376.35998535156199</v>
      </c>
      <c r="C216">
        <v>377.92599945068298</v>
      </c>
      <c r="D216">
        <v>370.53819946289002</v>
      </c>
      <c r="E216" t="str">
        <f t="shared" si="10"/>
        <v>Sell</v>
      </c>
      <c r="F216">
        <f t="shared" si="12"/>
        <v>0</v>
      </c>
      <c r="G216">
        <f t="shared" si="11"/>
        <v>0</v>
      </c>
      <c r="H216" s="12" cm="1">
        <f t="array" ref="H216">PRODUCT(1+G$2:G216)-1</f>
        <v>3.0742413002363467E-2</v>
      </c>
      <c r="I216">
        <f>H216-MAX(H$2:H216)</f>
        <v>-2.6869651762078117E-2</v>
      </c>
      <c r="L216" s="2">
        <f t="shared" si="13"/>
        <v>0.12990479897144211</v>
      </c>
    </row>
    <row r="217" spans="1:12" x14ac:dyDescent="0.25">
      <c r="A217" s="1">
        <v>44225</v>
      </c>
      <c r="B217">
        <v>375.63000488281199</v>
      </c>
      <c r="C217">
        <v>378.09049987792901</v>
      </c>
      <c r="D217">
        <v>370.83119934081998</v>
      </c>
      <c r="E217" t="str">
        <f t="shared" si="10"/>
        <v>Sell</v>
      </c>
      <c r="F217">
        <f t="shared" si="12"/>
        <v>0</v>
      </c>
      <c r="G217">
        <f t="shared" si="11"/>
        <v>0</v>
      </c>
      <c r="H217" s="12" cm="1">
        <f t="array" ref="H217">PRODUCT(1+G$2:G217)-1</f>
        <v>3.0742413002363467E-2</v>
      </c>
      <c r="I217">
        <f>H217-MAX(H$2:H217)</f>
        <v>-2.6869651762078117E-2</v>
      </c>
      <c r="L217" s="2">
        <f t="shared" si="13"/>
        <v>0.12771325771599865</v>
      </c>
    </row>
    <row r="218" spans="1:12" x14ac:dyDescent="0.25">
      <c r="A218" s="1">
        <v>44228</v>
      </c>
      <c r="B218">
        <v>373.72000122070301</v>
      </c>
      <c r="C218">
        <v>378.18749999999898</v>
      </c>
      <c r="D218">
        <v>371.10619934082001</v>
      </c>
      <c r="E218" t="str">
        <f t="shared" si="10"/>
        <v>Sell</v>
      </c>
      <c r="F218">
        <f t="shared" si="12"/>
        <v>0</v>
      </c>
      <c r="G218">
        <f t="shared" si="11"/>
        <v>0</v>
      </c>
      <c r="H218" s="12" cm="1">
        <f t="array" ref="H218">PRODUCT(1+G$2:G218)-1</f>
        <v>3.0742413002363467E-2</v>
      </c>
      <c r="I218">
        <f>H218-MAX(H$2:H218)</f>
        <v>-2.6869651762078117E-2</v>
      </c>
      <c r="L218" s="2">
        <f t="shared" si="13"/>
        <v>0.12197906070285433</v>
      </c>
    </row>
    <row r="219" spans="1:12" x14ac:dyDescent="0.25">
      <c r="A219" s="1">
        <v>44229</v>
      </c>
      <c r="B219">
        <v>379.64999389648398</v>
      </c>
      <c r="C219">
        <v>378.40449981689397</v>
      </c>
      <c r="D219">
        <v>371.48099914550698</v>
      </c>
      <c r="E219" t="str">
        <f t="shared" si="10"/>
        <v>Sell</v>
      </c>
      <c r="F219">
        <f t="shared" si="12"/>
        <v>0</v>
      </c>
      <c r="G219">
        <f t="shared" si="11"/>
        <v>0</v>
      </c>
      <c r="H219" s="12" cm="1">
        <f t="array" ref="H219">PRODUCT(1+G$2:G219)-1</f>
        <v>3.0742413002363467E-2</v>
      </c>
      <c r="I219">
        <f>H219-MAX(H$2:H219)</f>
        <v>-2.6869651762078117E-2</v>
      </c>
      <c r="L219" s="2">
        <f t="shared" si="13"/>
        <v>0.13978203509709439</v>
      </c>
    </row>
    <row r="220" spans="1:12" x14ac:dyDescent="0.25">
      <c r="A220" s="1">
        <v>44230</v>
      </c>
      <c r="B220">
        <v>382.44000244140602</v>
      </c>
      <c r="C220">
        <v>379.12149963378903</v>
      </c>
      <c r="D220">
        <v>372.01779907226501</v>
      </c>
      <c r="E220" t="str">
        <f t="shared" si="10"/>
        <v>Sell</v>
      </c>
      <c r="F220">
        <f t="shared" si="12"/>
        <v>0</v>
      </c>
      <c r="G220">
        <f t="shared" si="11"/>
        <v>0</v>
      </c>
      <c r="H220" s="12" cm="1">
        <f t="array" ref="H220">PRODUCT(1+G$2:G220)-1</f>
        <v>3.0742413002363467E-2</v>
      </c>
      <c r="I220">
        <f>H220-MAX(H$2:H220)</f>
        <v>-2.6869651762078117E-2</v>
      </c>
      <c r="L220" s="2">
        <f t="shared" si="13"/>
        <v>0.14815817540630929</v>
      </c>
    </row>
    <row r="221" spans="1:12" x14ac:dyDescent="0.25">
      <c r="A221" s="1">
        <v>44231</v>
      </c>
      <c r="B221">
        <v>382.95999145507801</v>
      </c>
      <c r="C221">
        <v>379.78399963378899</v>
      </c>
      <c r="D221">
        <v>372.52699890136699</v>
      </c>
      <c r="E221" t="str">
        <f t="shared" si="10"/>
        <v>Sell</v>
      </c>
      <c r="F221">
        <f t="shared" si="12"/>
        <v>0</v>
      </c>
      <c r="G221">
        <f t="shared" si="11"/>
        <v>0</v>
      </c>
      <c r="H221" s="12" cm="1">
        <f t="array" ref="H221">PRODUCT(1+G$2:G221)-1</f>
        <v>3.0742413002363467E-2</v>
      </c>
      <c r="I221">
        <f>H221-MAX(H$2:H221)</f>
        <v>-2.6869651762078117E-2</v>
      </c>
      <c r="L221" s="2">
        <f t="shared" si="13"/>
        <v>0.14971928207234228</v>
      </c>
    </row>
    <row r="222" spans="1:12" x14ac:dyDescent="0.25">
      <c r="A222" s="1">
        <v>44232</v>
      </c>
      <c r="B222">
        <v>388.20001220703102</v>
      </c>
      <c r="C222">
        <v>380.38899993896399</v>
      </c>
      <c r="D222">
        <v>373.14539916992101</v>
      </c>
      <c r="E222" t="str">
        <f t="shared" si="10"/>
        <v>Sell</v>
      </c>
      <c r="F222">
        <f t="shared" si="12"/>
        <v>0</v>
      </c>
      <c r="G222">
        <f t="shared" si="11"/>
        <v>0</v>
      </c>
      <c r="H222" s="12" cm="1">
        <f t="array" ref="H222">PRODUCT(1+G$2:G222)-1</f>
        <v>3.0742413002363467E-2</v>
      </c>
      <c r="I222">
        <f>H222-MAX(H$2:H222)</f>
        <v>-2.6869651762078117E-2</v>
      </c>
      <c r="L222" s="2">
        <f t="shared" si="13"/>
        <v>0.16545082852994733</v>
      </c>
    </row>
    <row r="223" spans="1:12" x14ac:dyDescent="0.25">
      <c r="A223" s="1">
        <v>44235</v>
      </c>
      <c r="B223">
        <v>389.26998901367102</v>
      </c>
      <c r="C223">
        <v>380.82299957275302</v>
      </c>
      <c r="D223">
        <v>373.72659912109299</v>
      </c>
      <c r="E223" t="str">
        <f t="shared" si="10"/>
        <v>Sell</v>
      </c>
      <c r="F223">
        <f t="shared" si="12"/>
        <v>0</v>
      </c>
      <c r="G223">
        <f t="shared" si="11"/>
        <v>0</v>
      </c>
      <c r="H223" s="12" cm="1">
        <f t="array" ref="H223">PRODUCT(1+G$2:G223)-1</f>
        <v>3.0742413002363467E-2</v>
      </c>
      <c r="I223">
        <f>H223-MAX(H$2:H223)</f>
        <v>-2.6869651762078117E-2</v>
      </c>
      <c r="L223" s="2">
        <f t="shared" si="13"/>
        <v>0.16866310394621231</v>
      </c>
    </row>
    <row r="224" spans="1:12" x14ac:dyDescent="0.25">
      <c r="A224" s="1">
        <v>44236</v>
      </c>
      <c r="B224">
        <v>389.60998535156199</v>
      </c>
      <c r="C224">
        <v>381.41099853515601</v>
      </c>
      <c r="D224">
        <v>374.25619873046799</v>
      </c>
      <c r="E224" t="str">
        <f t="shared" si="10"/>
        <v>Sell</v>
      </c>
      <c r="F224">
        <f t="shared" si="12"/>
        <v>0</v>
      </c>
      <c r="G224">
        <f t="shared" si="11"/>
        <v>0</v>
      </c>
      <c r="H224" s="12" cm="1">
        <f t="array" ref="H224">PRODUCT(1+G$2:G224)-1</f>
        <v>3.0742413002363467E-2</v>
      </c>
      <c r="I224">
        <f>H224-MAX(H$2:H224)</f>
        <v>-2.6869651762078117E-2</v>
      </c>
      <c r="L224" s="2">
        <f t="shared" si="13"/>
        <v>0.16968383810703674</v>
      </c>
    </row>
    <row r="225" spans="1:12" x14ac:dyDescent="0.25">
      <c r="A225" s="1">
        <v>44237</v>
      </c>
      <c r="B225">
        <v>392.11999511718699</v>
      </c>
      <c r="C225">
        <v>382.072497558593</v>
      </c>
      <c r="D225">
        <v>374.82179870605398</v>
      </c>
      <c r="E225" t="str">
        <f t="shared" si="10"/>
        <v>Sell</v>
      </c>
      <c r="F225">
        <f t="shared" si="12"/>
        <v>0</v>
      </c>
      <c r="G225">
        <f t="shared" si="11"/>
        <v>0</v>
      </c>
      <c r="H225" s="12" cm="1">
        <f t="array" ref="H225">PRODUCT(1+G$2:G225)-1</f>
        <v>3.0742413002363467E-2</v>
      </c>
      <c r="I225">
        <f>H225-MAX(H$2:H225)</f>
        <v>-2.6869651762078117E-2</v>
      </c>
      <c r="L225" s="2">
        <f t="shared" si="13"/>
        <v>0.17721936842383082</v>
      </c>
    </row>
    <row r="226" spans="1:12" x14ac:dyDescent="0.25">
      <c r="A226" s="1">
        <v>44238</v>
      </c>
      <c r="B226">
        <v>391.239990234375</v>
      </c>
      <c r="C226">
        <v>382.69999694824202</v>
      </c>
      <c r="D226">
        <v>375.38999877929598</v>
      </c>
      <c r="E226" t="str">
        <f t="shared" si="10"/>
        <v>Sell</v>
      </c>
      <c r="F226">
        <f t="shared" si="12"/>
        <v>0</v>
      </c>
      <c r="G226">
        <f t="shared" si="11"/>
        <v>0</v>
      </c>
      <c r="H226" s="12" cm="1">
        <f t="array" ref="H226">PRODUCT(1+G$2:G226)-1</f>
        <v>3.0742413002363467E-2</v>
      </c>
      <c r="I226">
        <f>H226-MAX(H$2:H226)</f>
        <v>-2.6869651762078117E-2</v>
      </c>
      <c r="L226" s="2">
        <f t="shared" si="13"/>
        <v>0.17457742512776347</v>
      </c>
    </row>
    <row r="227" spans="1:12" x14ac:dyDescent="0.25">
      <c r="A227" s="1">
        <v>44239</v>
      </c>
      <c r="B227">
        <v>389.850006103515</v>
      </c>
      <c r="C227">
        <v>383.16299743652303</v>
      </c>
      <c r="D227">
        <v>375.87559875488199</v>
      </c>
      <c r="E227" t="str">
        <f t="shared" si="10"/>
        <v>Sell</v>
      </c>
      <c r="F227">
        <f t="shared" si="12"/>
        <v>0</v>
      </c>
      <c r="G227">
        <f t="shared" si="11"/>
        <v>0</v>
      </c>
      <c r="H227" s="12" cm="1">
        <f t="array" ref="H227">PRODUCT(1+G$2:G227)-1</f>
        <v>3.0742413002363467E-2</v>
      </c>
      <c r="I227">
        <f>H227-MAX(H$2:H227)</f>
        <v>-2.6869651762078117E-2</v>
      </c>
      <c r="L227" s="2">
        <f t="shared" si="13"/>
        <v>0.17040442640026646</v>
      </c>
    </row>
    <row r="228" spans="1:12" x14ac:dyDescent="0.25">
      <c r="A228" s="1">
        <v>44243</v>
      </c>
      <c r="B228">
        <v>393.95999145507801</v>
      </c>
      <c r="C228">
        <v>384.02499694824201</v>
      </c>
      <c r="D228">
        <v>376.458398437499</v>
      </c>
      <c r="E228" t="str">
        <f t="shared" si="10"/>
        <v>Sell</v>
      </c>
      <c r="F228">
        <f t="shared" si="12"/>
        <v>0</v>
      </c>
      <c r="G228">
        <f t="shared" si="11"/>
        <v>0</v>
      </c>
      <c r="H228" s="12" cm="1">
        <f t="array" ref="H228">PRODUCT(1+G$2:G228)-1</f>
        <v>3.0742413002363467E-2</v>
      </c>
      <c r="I228">
        <f>H228-MAX(H$2:H228)</f>
        <v>-2.6869651762078117E-2</v>
      </c>
      <c r="L228" s="2">
        <f t="shared" si="13"/>
        <v>0.18274339003396803</v>
      </c>
    </row>
    <row r="229" spans="1:12" x14ac:dyDescent="0.25">
      <c r="A229" s="1">
        <v>44244</v>
      </c>
      <c r="B229">
        <v>390.42001342773398</v>
      </c>
      <c r="C229">
        <v>384.62899780273398</v>
      </c>
      <c r="D229">
        <v>376.93319885253902</v>
      </c>
      <c r="E229" t="str">
        <f t="shared" si="10"/>
        <v>Sell</v>
      </c>
      <c r="F229">
        <f t="shared" si="12"/>
        <v>0</v>
      </c>
      <c r="G229">
        <f t="shared" si="11"/>
        <v>0</v>
      </c>
      <c r="H229" s="12" cm="1">
        <f t="array" ref="H229">PRODUCT(1+G$2:G229)-1</f>
        <v>3.0742413002363467E-2</v>
      </c>
      <c r="I229">
        <f>H229-MAX(H$2:H229)</f>
        <v>-2.6869651762078117E-2</v>
      </c>
      <c r="L229" s="2">
        <f t="shared" si="13"/>
        <v>0.17211569761971418</v>
      </c>
    </row>
    <row r="230" spans="1:12" x14ac:dyDescent="0.25">
      <c r="A230" s="1">
        <v>44245</v>
      </c>
      <c r="B230">
        <v>389.58999633789</v>
      </c>
      <c r="C230">
        <v>385.05299835205</v>
      </c>
      <c r="D230">
        <v>377.37859863281199</v>
      </c>
      <c r="E230" t="str">
        <f t="shared" si="10"/>
        <v>Sell</v>
      </c>
      <c r="F230">
        <f t="shared" si="12"/>
        <v>0</v>
      </c>
      <c r="G230">
        <f t="shared" si="11"/>
        <v>0</v>
      </c>
      <c r="H230" s="12" cm="1">
        <f t="array" ref="H230">PRODUCT(1+G$2:G230)-1</f>
        <v>3.0742413002363467E-2</v>
      </c>
      <c r="I230">
        <f>H230-MAX(H$2:H230)</f>
        <v>-2.6869651762078117E-2</v>
      </c>
      <c r="L230" s="2">
        <f t="shared" si="13"/>
        <v>0.16962382725744127</v>
      </c>
    </row>
    <row r="231" spans="1:12" x14ac:dyDescent="0.25">
      <c r="A231" s="1">
        <v>44246</v>
      </c>
      <c r="B231">
        <v>392.07000732421801</v>
      </c>
      <c r="C231">
        <v>385.431999206542</v>
      </c>
      <c r="D231">
        <v>377.839598999023</v>
      </c>
      <c r="E231" t="str">
        <f t="shared" si="10"/>
        <v>Sell</v>
      </c>
      <c r="F231">
        <f t="shared" si="12"/>
        <v>0</v>
      </c>
      <c r="G231">
        <f t="shared" si="11"/>
        <v>0</v>
      </c>
      <c r="H231" s="12" cm="1">
        <f t="array" ref="H231">PRODUCT(1+G$2:G231)-1</f>
        <v>3.0742413002363467E-2</v>
      </c>
      <c r="I231">
        <f>H231-MAX(H$2:H231)</f>
        <v>-2.6869651762078117E-2</v>
      </c>
      <c r="L231" s="2">
        <f t="shared" si="13"/>
        <v>0.17706929549003347</v>
      </c>
    </row>
    <row r="232" spans="1:12" x14ac:dyDescent="0.25">
      <c r="A232" s="1">
        <v>44249</v>
      </c>
      <c r="B232">
        <v>387.05999755859301</v>
      </c>
      <c r="C232">
        <v>385.67249908447201</v>
      </c>
      <c r="D232">
        <v>378.22639892578098</v>
      </c>
      <c r="E232" t="str">
        <f t="shared" si="10"/>
        <v>Sell</v>
      </c>
      <c r="F232">
        <f t="shared" si="12"/>
        <v>0</v>
      </c>
      <c r="G232">
        <f t="shared" si="11"/>
        <v>0</v>
      </c>
      <c r="H232" s="12" cm="1">
        <f t="array" ref="H232">PRODUCT(1+G$2:G232)-1</f>
        <v>3.0742413002363467E-2</v>
      </c>
      <c r="I232">
        <f>H232-MAX(H$2:H232)</f>
        <v>-2.6869651762078117E-2</v>
      </c>
      <c r="L232" s="2">
        <f t="shared" si="13"/>
        <v>0.16202828609105172</v>
      </c>
    </row>
    <row r="233" spans="1:12" x14ac:dyDescent="0.25">
      <c r="A233" s="1">
        <v>44250</v>
      </c>
      <c r="B233">
        <v>384.66000366210898</v>
      </c>
      <c r="C233">
        <v>385.72199859619099</v>
      </c>
      <c r="D233">
        <v>378.50199890136702</v>
      </c>
      <c r="E233" t="str">
        <f t="shared" si="10"/>
        <v>Sell</v>
      </c>
      <c r="F233">
        <f t="shared" si="12"/>
        <v>0</v>
      </c>
      <c r="G233">
        <f t="shared" si="11"/>
        <v>0</v>
      </c>
      <c r="H233" s="12" cm="1">
        <f t="array" ref="H233">PRODUCT(1+G$2:G233)-1</f>
        <v>3.0742413002363467E-2</v>
      </c>
      <c r="I233">
        <f>H233-MAX(H$2:H233)</f>
        <v>-2.6869651762078117E-2</v>
      </c>
      <c r="L233" s="2">
        <f t="shared" si="13"/>
        <v>0.15482304449607612</v>
      </c>
    </row>
    <row r="234" spans="1:12" x14ac:dyDescent="0.25">
      <c r="A234" s="1">
        <v>44251</v>
      </c>
      <c r="B234">
        <v>386.329986572265</v>
      </c>
      <c r="C234">
        <v>385.76799774169899</v>
      </c>
      <c r="D234">
        <v>378.92119873046801</v>
      </c>
      <c r="E234" t="str">
        <f t="shared" si="10"/>
        <v>Sell</v>
      </c>
      <c r="F234">
        <f t="shared" si="12"/>
        <v>0</v>
      </c>
      <c r="G234">
        <f t="shared" si="11"/>
        <v>0</v>
      </c>
      <c r="H234" s="12" cm="1">
        <f t="array" ref="H234">PRODUCT(1+G$2:G234)-1</f>
        <v>3.0742413002363467E-2</v>
      </c>
      <c r="I234">
        <f>H234-MAX(H$2:H234)</f>
        <v>-2.6869651762078117E-2</v>
      </c>
      <c r="L234" s="2">
        <f t="shared" si="13"/>
        <v>0.15983665321599089</v>
      </c>
    </row>
    <row r="235" spans="1:12" x14ac:dyDescent="0.25">
      <c r="A235" s="1">
        <v>44252</v>
      </c>
      <c r="B235">
        <v>390.41000366210898</v>
      </c>
      <c r="C235">
        <v>386.27749786376899</v>
      </c>
      <c r="D235">
        <v>379.43139892578102</v>
      </c>
      <c r="E235" t="str">
        <f t="shared" si="10"/>
        <v>Sell</v>
      </c>
      <c r="F235">
        <f t="shared" si="12"/>
        <v>0</v>
      </c>
      <c r="G235">
        <f t="shared" si="11"/>
        <v>0</v>
      </c>
      <c r="H235" s="12" cm="1">
        <f t="array" ref="H235">PRODUCT(1+G$2:G235)-1</f>
        <v>3.0742413002363467E-2</v>
      </c>
      <c r="I235">
        <f>H235-MAX(H$2:H235)</f>
        <v>-2.6869651762078117E-2</v>
      </c>
      <c r="L235" s="2">
        <f t="shared" si="13"/>
        <v>0.17208564638510776</v>
      </c>
    </row>
    <row r="236" spans="1:12" x14ac:dyDescent="0.25">
      <c r="A236" s="1">
        <v>44253</v>
      </c>
      <c r="B236">
        <v>384.350006103515</v>
      </c>
      <c r="C236">
        <v>386.67699890136703</v>
      </c>
      <c r="D236">
        <v>379.745598754882</v>
      </c>
      <c r="E236" t="str">
        <f t="shared" si="10"/>
        <v>Sell</v>
      </c>
      <c r="F236">
        <f t="shared" si="12"/>
        <v>0</v>
      </c>
      <c r="G236">
        <f t="shared" si="11"/>
        <v>0</v>
      </c>
      <c r="H236" s="12" cm="1">
        <f t="array" ref="H236">PRODUCT(1+G$2:G236)-1</f>
        <v>3.0742413002363467E-2</v>
      </c>
      <c r="I236">
        <f>H236-MAX(H$2:H236)</f>
        <v>-2.6869651762078117E-2</v>
      </c>
      <c r="L236" s="2">
        <f t="shared" si="13"/>
        <v>0.15389237241945358</v>
      </c>
    </row>
    <row r="237" spans="1:12" x14ac:dyDescent="0.25">
      <c r="A237" s="1">
        <v>44256</v>
      </c>
      <c r="B237">
        <v>385.58999633789</v>
      </c>
      <c r="C237">
        <v>387.17499847412103</v>
      </c>
      <c r="D237">
        <v>380.10939880371001</v>
      </c>
      <c r="E237" t="str">
        <f t="shared" si="10"/>
        <v>Sell</v>
      </c>
      <c r="F237">
        <f t="shared" si="12"/>
        <v>0</v>
      </c>
      <c r="G237">
        <f t="shared" si="11"/>
        <v>0</v>
      </c>
      <c r="H237" s="12" cm="1">
        <f t="array" ref="H237">PRODUCT(1+G$2:G237)-1</f>
        <v>3.0742413002363467E-2</v>
      </c>
      <c r="I237">
        <f>H237-MAX(H$2:H237)</f>
        <v>-2.6869651762078117E-2</v>
      </c>
      <c r="L237" s="2">
        <f t="shared" si="13"/>
        <v>0.157615060725941</v>
      </c>
    </row>
    <row r="238" spans="1:12" x14ac:dyDescent="0.25">
      <c r="A238" s="1">
        <v>44257</v>
      </c>
      <c r="B238">
        <v>389.82000732421801</v>
      </c>
      <c r="C238">
        <v>387.97999877929601</v>
      </c>
      <c r="D238">
        <v>380.50939880370998</v>
      </c>
      <c r="E238" t="str">
        <f t="shared" si="10"/>
        <v>Sell</v>
      </c>
      <c r="F238">
        <f t="shared" si="12"/>
        <v>0</v>
      </c>
      <c r="G238">
        <f t="shared" si="11"/>
        <v>0</v>
      </c>
      <c r="H238" s="12" cm="1">
        <f t="array" ref="H238">PRODUCT(1+G$2:G238)-1</f>
        <v>3.0742413002363467E-2</v>
      </c>
      <c r="I238">
        <f>H238-MAX(H$2:H238)</f>
        <v>-2.6869651762078117E-2</v>
      </c>
      <c r="L238" s="2">
        <f t="shared" si="13"/>
        <v>0.17031436431606456</v>
      </c>
    </row>
    <row r="239" spans="1:12" x14ac:dyDescent="0.25">
      <c r="A239" s="1">
        <v>44258</v>
      </c>
      <c r="B239">
        <v>385.79000854492102</v>
      </c>
      <c r="C239">
        <v>388.28699951171802</v>
      </c>
      <c r="D239">
        <v>380.78639892578099</v>
      </c>
      <c r="E239" t="str">
        <f t="shared" si="10"/>
        <v>Hold</v>
      </c>
      <c r="F239">
        <f t="shared" si="12"/>
        <v>0</v>
      </c>
      <c r="G239">
        <f t="shared" si="11"/>
        <v>0</v>
      </c>
      <c r="H239" s="12" cm="1">
        <f t="array" ref="H239">PRODUCT(1+G$2:G239)-1</f>
        <v>3.0742413002363467E-2</v>
      </c>
      <c r="I239">
        <f>H239-MAX(H$2:H239)</f>
        <v>-2.6869651762078117E-2</v>
      </c>
      <c r="L239" s="2">
        <f t="shared" si="13"/>
        <v>0.15821553570036243</v>
      </c>
    </row>
    <row r="240" spans="1:12" x14ac:dyDescent="0.25">
      <c r="A240" s="1">
        <v>44259</v>
      </c>
      <c r="B240">
        <v>381.22000122070301</v>
      </c>
      <c r="C240">
        <v>388.22599945068299</v>
      </c>
      <c r="D240">
        <v>380.99139892578103</v>
      </c>
      <c r="E240" t="str">
        <f t="shared" si="10"/>
        <v>Hold</v>
      </c>
      <c r="F240">
        <f t="shared" si="12"/>
        <v>0</v>
      </c>
      <c r="G240">
        <f t="shared" si="11"/>
        <v>0</v>
      </c>
      <c r="H240" s="12" cm="1">
        <f t="array" ref="H240">PRODUCT(1+G$2:G240)-1</f>
        <v>3.0742413002363467E-2</v>
      </c>
      <c r="I240">
        <f>H240-MAX(H$2:H240)</f>
        <v>-2.6869651762078117E-2</v>
      </c>
      <c r="L240" s="2">
        <f t="shared" si="13"/>
        <v>0.14449549794941732</v>
      </c>
    </row>
    <row r="241" spans="1:12" x14ac:dyDescent="0.25">
      <c r="A241" s="1">
        <v>44260</v>
      </c>
      <c r="B241">
        <v>380.45999145507801</v>
      </c>
      <c r="C241">
        <v>388.10099945068299</v>
      </c>
      <c r="D241">
        <v>381.301198730468</v>
      </c>
      <c r="E241" t="str">
        <f t="shared" si="10"/>
        <v>Hold</v>
      </c>
      <c r="F241">
        <f t="shared" si="12"/>
        <v>0</v>
      </c>
      <c r="G241">
        <f t="shared" si="11"/>
        <v>0</v>
      </c>
      <c r="H241" s="12" cm="1">
        <f t="array" ref="H241">PRODUCT(1+G$2:G241)-1</f>
        <v>3.0742413002363467E-2</v>
      </c>
      <c r="I241">
        <f>H241-MAX(H$2:H241)</f>
        <v>-2.6869651762078117E-2</v>
      </c>
      <c r="L241" s="2">
        <f t="shared" si="13"/>
        <v>0.14221380299015463</v>
      </c>
    </row>
    <row r="242" spans="1:12" x14ac:dyDescent="0.25">
      <c r="A242" s="1">
        <v>44263</v>
      </c>
      <c r="B242">
        <v>384.66000366210898</v>
      </c>
      <c r="C242">
        <v>387.92399902343698</v>
      </c>
      <c r="D242">
        <v>381.63019897460902</v>
      </c>
      <c r="E242" t="str">
        <f t="shared" si="10"/>
        <v>Hold</v>
      </c>
      <c r="F242">
        <f t="shared" si="12"/>
        <v>0</v>
      </c>
      <c r="G242">
        <f t="shared" si="11"/>
        <v>0</v>
      </c>
      <c r="H242" s="12" cm="1">
        <f t="array" ref="H242">PRODUCT(1+G$2:G242)-1</f>
        <v>3.0742413002363467E-2</v>
      </c>
      <c r="I242">
        <f>H242-MAX(H$2:H242)</f>
        <v>-2.6869651762078117E-2</v>
      </c>
      <c r="L242" s="2">
        <f t="shared" si="13"/>
        <v>0.15482304449607612</v>
      </c>
    </row>
    <row r="243" spans="1:12" x14ac:dyDescent="0.25">
      <c r="A243" s="1">
        <v>44264</v>
      </c>
      <c r="B243">
        <v>385.850006103515</v>
      </c>
      <c r="C243">
        <v>387.75299987792903</v>
      </c>
      <c r="D243">
        <v>381.98159912109298</v>
      </c>
      <c r="E243" t="str">
        <f t="shared" si="10"/>
        <v>Sell</v>
      </c>
      <c r="F243">
        <f t="shared" si="12"/>
        <v>0</v>
      </c>
      <c r="G243">
        <f t="shared" si="11"/>
        <v>0</v>
      </c>
      <c r="H243" s="12" cm="1">
        <f t="array" ref="H243">PRODUCT(1+G$2:G243)-1</f>
        <v>3.0742413002363467E-2</v>
      </c>
      <c r="I243">
        <f>H243-MAX(H$2:H243)</f>
        <v>-2.6869651762078117E-2</v>
      </c>
      <c r="L243" s="2">
        <f t="shared" si="13"/>
        <v>0.15839565986876619</v>
      </c>
    </row>
    <row r="244" spans="1:12" x14ac:dyDescent="0.25">
      <c r="A244" s="1">
        <v>44265</v>
      </c>
      <c r="B244">
        <v>389.69000244140602</v>
      </c>
      <c r="C244">
        <v>387.75700073242098</v>
      </c>
      <c r="D244">
        <v>382.41379943847602</v>
      </c>
      <c r="E244" t="str">
        <f t="shared" si="10"/>
        <v>Sell</v>
      </c>
      <c r="F244">
        <f t="shared" si="12"/>
        <v>0</v>
      </c>
      <c r="G244">
        <f t="shared" si="11"/>
        <v>0</v>
      </c>
      <c r="H244" s="12" cm="1">
        <f t="array" ref="H244">PRODUCT(1+G$2:G244)-1</f>
        <v>3.0742413002363467E-2</v>
      </c>
      <c r="I244">
        <f>H244-MAX(H$2:H244)</f>
        <v>-2.6869651762078117E-2</v>
      </c>
      <c r="L244" s="2">
        <f t="shared" si="13"/>
        <v>0.16992406474465352</v>
      </c>
    </row>
    <row r="245" spans="1:12" x14ac:dyDescent="0.25">
      <c r="A245" s="1">
        <v>44266</v>
      </c>
      <c r="B245">
        <v>392.23001098632801</v>
      </c>
      <c r="C245">
        <v>387.76250152587801</v>
      </c>
      <c r="D245">
        <v>382.82359985351502</v>
      </c>
      <c r="E245" t="str">
        <f t="shared" si="10"/>
        <v>Sell</v>
      </c>
      <c r="F245">
        <f t="shared" si="12"/>
        <v>0</v>
      </c>
      <c r="G245">
        <f t="shared" si="11"/>
        <v>0</v>
      </c>
      <c r="H245" s="12" cm="1">
        <f t="array" ref="H245">PRODUCT(1+G$2:G245)-1</f>
        <v>3.0742413002363467E-2</v>
      </c>
      <c r="I245">
        <f>H245-MAX(H$2:H245)</f>
        <v>-2.6869651762078117E-2</v>
      </c>
      <c r="L245" s="2">
        <f t="shared" si="13"/>
        <v>0.17754965714564949</v>
      </c>
    </row>
    <row r="246" spans="1:12" x14ac:dyDescent="0.25">
      <c r="A246" s="1">
        <v>44267</v>
      </c>
      <c r="B246">
        <v>392.07000732421801</v>
      </c>
      <c r="C246">
        <v>387.804002380371</v>
      </c>
      <c r="D246">
        <v>383.188800048828</v>
      </c>
      <c r="E246" t="str">
        <f t="shared" si="10"/>
        <v>Sell</v>
      </c>
      <c r="F246">
        <f t="shared" si="12"/>
        <v>0</v>
      </c>
      <c r="G246">
        <f t="shared" si="11"/>
        <v>0</v>
      </c>
      <c r="H246" s="12" cm="1">
        <f t="array" ref="H246">PRODUCT(1+G$2:G246)-1</f>
        <v>3.0742413002363467E-2</v>
      </c>
      <c r="I246">
        <f>H246-MAX(H$2:H246)</f>
        <v>-2.6869651762078117E-2</v>
      </c>
      <c r="L246" s="2">
        <f t="shared" si="13"/>
        <v>0.17706929549003347</v>
      </c>
    </row>
    <row r="247" spans="1:12" x14ac:dyDescent="0.25">
      <c r="A247" s="1">
        <v>44270</v>
      </c>
      <c r="B247">
        <v>394.329986572265</v>
      </c>
      <c r="C247">
        <v>388.02800140380799</v>
      </c>
      <c r="D247">
        <v>383.62859985351503</v>
      </c>
      <c r="E247" t="str">
        <f t="shared" si="10"/>
        <v>Sell</v>
      </c>
      <c r="F247">
        <f t="shared" si="12"/>
        <v>0</v>
      </c>
      <c r="G247">
        <f t="shared" si="11"/>
        <v>0</v>
      </c>
      <c r="H247" s="12" cm="1">
        <f t="array" ref="H247">PRODUCT(1+G$2:G247)-1</f>
        <v>3.0742413002363467E-2</v>
      </c>
      <c r="I247">
        <f>H247-MAX(H$2:H247)</f>
        <v>-2.6869651762078117E-2</v>
      </c>
      <c r="L247" s="2">
        <f t="shared" si="13"/>
        <v>0.18385418627899142</v>
      </c>
    </row>
    <row r="248" spans="1:12" x14ac:dyDescent="0.25">
      <c r="A248" s="1">
        <v>44271</v>
      </c>
      <c r="B248">
        <v>397.07000732421801</v>
      </c>
      <c r="C248">
        <v>388.183502197265</v>
      </c>
      <c r="D248">
        <v>384.13440002441399</v>
      </c>
      <c r="E248" t="str">
        <f t="shared" si="10"/>
        <v>Sell</v>
      </c>
      <c r="F248">
        <f t="shared" si="12"/>
        <v>0</v>
      </c>
      <c r="G248">
        <f t="shared" si="11"/>
        <v>0</v>
      </c>
      <c r="H248" s="12" cm="1">
        <f t="array" ref="H248">PRODUCT(1+G$2:G248)-1</f>
        <v>3.0742413002363467E-2</v>
      </c>
      <c r="I248">
        <f>H248-MAX(H$2:H248)</f>
        <v>-2.6869651762078117E-2</v>
      </c>
      <c r="L248" s="2">
        <f t="shared" si="13"/>
        <v>0.19208025365440881</v>
      </c>
    </row>
    <row r="249" spans="1:12" x14ac:dyDescent="0.25">
      <c r="A249" s="1">
        <v>44272</v>
      </c>
      <c r="B249">
        <v>394.52999877929602</v>
      </c>
      <c r="C249">
        <v>388.38900146484298</v>
      </c>
      <c r="D249">
        <v>384.51880004882798</v>
      </c>
      <c r="E249" t="str">
        <f t="shared" si="10"/>
        <v>Sell</v>
      </c>
      <c r="F249">
        <f t="shared" si="12"/>
        <v>0</v>
      </c>
      <c r="G249">
        <f t="shared" si="11"/>
        <v>0</v>
      </c>
      <c r="H249" s="12" cm="1">
        <f t="array" ref="H249">PRODUCT(1+G$2:G249)-1</f>
        <v>3.0742413002363467E-2</v>
      </c>
      <c r="I249">
        <f>H249-MAX(H$2:H249)</f>
        <v>-2.6869651762078117E-2</v>
      </c>
      <c r="L249" s="2">
        <f t="shared" si="13"/>
        <v>0.18445466125341284</v>
      </c>
    </row>
    <row r="250" spans="1:12" x14ac:dyDescent="0.25">
      <c r="A250" s="1">
        <v>44273</v>
      </c>
      <c r="B250">
        <v>394.48001098632801</v>
      </c>
      <c r="C250">
        <v>388.63350219726499</v>
      </c>
      <c r="D250">
        <v>385.04640014648402</v>
      </c>
      <c r="E250" t="str">
        <f t="shared" si="10"/>
        <v>Hold</v>
      </c>
      <c r="F250">
        <f t="shared" si="12"/>
        <v>0</v>
      </c>
      <c r="G250">
        <f t="shared" si="11"/>
        <v>0</v>
      </c>
      <c r="H250" s="12" cm="1">
        <f t="array" ref="H250">PRODUCT(1+G$2:G250)-1</f>
        <v>3.0742413002363467E-2</v>
      </c>
      <c r="I250">
        <f>H250-MAX(H$2:H250)</f>
        <v>-2.6869651762078117E-2</v>
      </c>
      <c r="L250" s="2">
        <f t="shared" si="13"/>
        <v>0.18430458831961838</v>
      </c>
    </row>
    <row r="251" spans="1:12" x14ac:dyDescent="0.25">
      <c r="A251" s="1">
        <v>44274</v>
      </c>
      <c r="B251">
        <v>389.88000488281199</v>
      </c>
      <c r="C251">
        <v>388.52400207519503</v>
      </c>
      <c r="D251">
        <v>385.44980041503902</v>
      </c>
      <c r="E251" t="str">
        <f t="shared" si="10"/>
        <v>Sell</v>
      </c>
      <c r="F251">
        <f t="shared" si="12"/>
        <v>0</v>
      </c>
      <c r="G251">
        <f t="shared" si="11"/>
        <v>0</v>
      </c>
      <c r="H251" s="12" cm="1">
        <f t="array" ref="H251">PRODUCT(1+G$2:G251)-1</f>
        <v>3.0742413002363467E-2</v>
      </c>
      <c r="I251">
        <f>H251-MAX(H$2:H251)</f>
        <v>-2.6869651762078117E-2</v>
      </c>
      <c r="L251" s="2">
        <f t="shared" si="13"/>
        <v>0.17049448848446835</v>
      </c>
    </row>
    <row r="252" spans="1:12" x14ac:dyDescent="0.25">
      <c r="A252" s="1">
        <v>44277</v>
      </c>
      <c r="B252">
        <v>390.02999877929602</v>
      </c>
      <c r="C252">
        <v>388.67250213622998</v>
      </c>
      <c r="D252">
        <v>385.72840026855403</v>
      </c>
      <c r="E252" t="str">
        <f t="shared" si="10"/>
        <v>Sell</v>
      </c>
      <c r="F252">
        <f t="shared" si="12"/>
        <v>0</v>
      </c>
      <c r="G252">
        <f t="shared" si="11"/>
        <v>0</v>
      </c>
      <c r="H252" s="12" cm="1">
        <f t="array" ref="H252">PRODUCT(1+G$2:G252)-1</f>
        <v>3.0742413002363467E-2</v>
      </c>
      <c r="I252">
        <f>H252-MAX(H$2:H252)</f>
        <v>-2.6869651762078117E-2</v>
      </c>
      <c r="L252" s="2">
        <f t="shared" si="13"/>
        <v>0.17094479890547504</v>
      </c>
    </row>
    <row r="253" spans="1:12" x14ac:dyDescent="0.25">
      <c r="A253" s="1">
        <v>44278</v>
      </c>
      <c r="B253">
        <v>391.91000366210898</v>
      </c>
      <c r="C253">
        <v>389.03500213622999</v>
      </c>
      <c r="D253">
        <v>385.95480041503902</v>
      </c>
      <c r="E253" t="str">
        <f t="shared" si="10"/>
        <v>Sell</v>
      </c>
      <c r="F253">
        <f t="shared" si="12"/>
        <v>0</v>
      </c>
      <c r="G253">
        <f t="shared" si="11"/>
        <v>0</v>
      </c>
      <c r="H253" s="12" cm="1">
        <f t="array" ref="H253">PRODUCT(1+G$2:G253)-1</f>
        <v>3.0742413002363467E-2</v>
      </c>
      <c r="I253">
        <f>H253-MAX(H$2:H253)</f>
        <v>-2.6869651762078117E-2</v>
      </c>
      <c r="L253" s="2">
        <f t="shared" si="13"/>
        <v>0.17658893383442037</v>
      </c>
    </row>
    <row r="254" spans="1:12" x14ac:dyDescent="0.25">
      <c r="A254" s="1">
        <v>44279</v>
      </c>
      <c r="B254">
        <v>391</v>
      </c>
      <c r="C254">
        <v>389.26850280761698</v>
      </c>
      <c r="D254">
        <v>386.21780029296798</v>
      </c>
      <c r="E254" t="str">
        <f t="shared" si="10"/>
        <v>Hold</v>
      </c>
      <c r="F254">
        <f t="shared" si="12"/>
        <v>0</v>
      </c>
      <c r="G254">
        <f t="shared" si="11"/>
        <v>0</v>
      </c>
      <c r="H254" s="12" cm="1">
        <f t="array" ref="H254">PRODUCT(1+G$2:G254)-1</f>
        <v>3.0742413002363467E-2</v>
      </c>
      <c r="I254">
        <f>H254-MAX(H$2:H254)</f>
        <v>-2.6869651762078117E-2</v>
      </c>
      <c r="L254" s="2">
        <f t="shared" si="13"/>
        <v>0.17385692845415113</v>
      </c>
    </row>
    <row r="255" spans="1:12" x14ac:dyDescent="0.25">
      <c r="A255" s="1">
        <v>44280</v>
      </c>
      <c r="B255">
        <v>385.98001098632801</v>
      </c>
      <c r="C255">
        <v>389.04700317382799</v>
      </c>
      <c r="D255">
        <v>386.35960021972602</v>
      </c>
      <c r="E255" t="str">
        <f t="shared" si="10"/>
        <v>Sell</v>
      </c>
      <c r="F255">
        <f t="shared" si="12"/>
        <v>0</v>
      </c>
      <c r="G255">
        <f t="shared" si="11"/>
        <v>0</v>
      </c>
      <c r="H255" s="12" cm="1">
        <f t="array" ref="H255">PRODUCT(1+G$2:G255)-1</f>
        <v>3.0742413002363467E-2</v>
      </c>
      <c r="I255">
        <f>H255-MAX(H$2:H255)</f>
        <v>-2.6869651762078117E-2</v>
      </c>
      <c r="L255" s="2">
        <f t="shared" si="13"/>
        <v>0.15878595944018031</v>
      </c>
    </row>
    <row r="256" spans="1:12" x14ac:dyDescent="0.25">
      <c r="A256" s="1">
        <v>44281</v>
      </c>
      <c r="B256">
        <v>390.92999267578102</v>
      </c>
      <c r="C256">
        <v>389.376002502441</v>
      </c>
      <c r="D256">
        <v>386.60440002441402</v>
      </c>
      <c r="E256" t="str">
        <f t="shared" si="10"/>
        <v>Sell</v>
      </c>
      <c r="F256">
        <f t="shared" si="12"/>
        <v>0</v>
      </c>
      <c r="G256">
        <f t="shared" si="11"/>
        <v>0</v>
      </c>
      <c r="H256" s="12" cm="1">
        <f t="array" ref="H256">PRODUCT(1+G$2:G256)-1</f>
        <v>3.0742413002363467E-2</v>
      </c>
      <c r="I256">
        <f>H256-MAX(H$2:H256)</f>
        <v>-2.6869651762078117E-2</v>
      </c>
      <c r="L256" s="2">
        <f t="shared" si="13"/>
        <v>0.17364675305114094</v>
      </c>
    </row>
    <row r="257" spans="1:12" x14ac:dyDescent="0.25">
      <c r="A257" s="1">
        <v>44284</v>
      </c>
      <c r="B257">
        <v>394.39999389648398</v>
      </c>
      <c r="C257">
        <v>389.81650238037099</v>
      </c>
      <c r="D257">
        <v>386.88059997558503</v>
      </c>
      <c r="E257" t="str">
        <f t="shared" si="10"/>
        <v>Sell</v>
      </c>
      <c r="F257">
        <f t="shared" si="12"/>
        <v>0</v>
      </c>
      <c r="G257">
        <f t="shared" si="11"/>
        <v>0</v>
      </c>
      <c r="H257" s="12" cm="1">
        <f t="array" ref="H257">PRODUCT(1+G$2:G257)-1</f>
        <v>3.0742413002363467E-2</v>
      </c>
      <c r="I257">
        <f>H257-MAX(H$2:H257)</f>
        <v>-2.6869651762078117E-2</v>
      </c>
      <c r="L257" s="2">
        <f t="shared" si="13"/>
        <v>0.1840643616820016</v>
      </c>
    </row>
    <row r="258" spans="1:12" x14ac:dyDescent="0.25">
      <c r="A258" s="1">
        <v>44285</v>
      </c>
      <c r="B258">
        <v>394.42001342773398</v>
      </c>
      <c r="C258">
        <v>390.04650268554599</v>
      </c>
      <c r="D258">
        <v>387.23460021972602</v>
      </c>
      <c r="E258" t="str">
        <f t="shared" si="10"/>
        <v>Sell</v>
      </c>
      <c r="F258">
        <f t="shared" si="12"/>
        <v>0</v>
      </c>
      <c r="G258">
        <f t="shared" si="11"/>
        <v>0</v>
      </c>
      <c r="H258" s="12" cm="1">
        <f t="array" ref="H258">PRODUCT(1+G$2:G258)-1</f>
        <v>3.0742413002363467E-2</v>
      </c>
      <c r="I258">
        <f>H258-MAX(H$2:H258)</f>
        <v>-2.6869651762078117E-2</v>
      </c>
      <c r="L258" s="2">
        <f t="shared" si="13"/>
        <v>0.18412446415121445</v>
      </c>
    </row>
    <row r="259" spans="1:12" x14ac:dyDescent="0.25">
      <c r="A259" s="1">
        <v>44286</v>
      </c>
      <c r="B259">
        <v>395.33999633789</v>
      </c>
      <c r="C259">
        <v>390.52400207519503</v>
      </c>
      <c r="D259">
        <v>387.57460021972599</v>
      </c>
      <c r="E259" t="str">
        <f t="shared" ref="E259:E322" si="14">IF(OR(ISBLANK(C259),ISBLANK(D259),ISBLANK(C260),ISBLANK(D260)), "Hold", IF(AND(C259&gt;C260,C260&lt;=D260), "Buy", IF(AND(C259&lt;C260,C260&gt;=D260), "Sell", "Hold")))</f>
        <v>Sell</v>
      </c>
      <c r="F259">
        <f t="shared" si="12"/>
        <v>0</v>
      </c>
      <c r="G259">
        <f t="shared" ref="G259:G322" si="15">IF(F259=1,(B260-B259)/B259,0)</f>
        <v>0</v>
      </c>
      <c r="H259" s="12" cm="1">
        <f t="array" ref="H259">PRODUCT(1+G$2:G259)-1</f>
        <v>3.0742413002363467E-2</v>
      </c>
      <c r="I259">
        <f>H259-MAX(H$2:H259)</f>
        <v>-2.6869651762078117E-2</v>
      </c>
      <c r="L259" s="2">
        <f t="shared" si="13"/>
        <v>0.18688642914647291</v>
      </c>
    </row>
    <row r="260" spans="1:12" x14ac:dyDescent="0.25">
      <c r="A260" s="1">
        <v>44287</v>
      </c>
      <c r="B260">
        <v>398.39999389648398</v>
      </c>
      <c r="C260">
        <v>391.38300170898401</v>
      </c>
      <c r="D260">
        <v>387.92040039062402</v>
      </c>
      <c r="E260" t="str">
        <f t="shared" si="14"/>
        <v>Sell</v>
      </c>
      <c r="F260">
        <f t="shared" ref="F260:F323" si="16">IF(E260="Buy",1, IF(E260="Sell",0,F259))</f>
        <v>0</v>
      </c>
      <c r="G260">
        <f t="shared" si="15"/>
        <v>0</v>
      </c>
      <c r="H260" s="12" cm="1">
        <f t="array" ref="H260">PRODUCT(1+G$2:G260)-1</f>
        <v>3.0742413002363467E-2</v>
      </c>
      <c r="I260">
        <f>H260-MAX(H$2:H260)</f>
        <v>-2.6869651762078117E-2</v>
      </c>
      <c r="L260" s="2">
        <f t="shared" si="13"/>
        <v>0.19607312821350187</v>
      </c>
    </row>
    <row r="261" spans="1:12" x14ac:dyDescent="0.25">
      <c r="A261" s="1">
        <v>44291</v>
      </c>
      <c r="B261">
        <v>403.45999145507801</v>
      </c>
      <c r="C261">
        <v>392.53300170898399</v>
      </c>
      <c r="D261">
        <v>388.29980041503899</v>
      </c>
      <c r="E261" t="str">
        <f t="shared" si="14"/>
        <v>Sell</v>
      </c>
      <c r="F261">
        <f t="shared" si="16"/>
        <v>0</v>
      </c>
      <c r="G261">
        <f t="shared" si="15"/>
        <v>0</v>
      </c>
      <c r="H261" s="12" cm="1">
        <f t="array" ref="H261">PRODUCT(1+G$2:G261)-1</f>
        <v>3.0742413002363467E-2</v>
      </c>
      <c r="I261">
        <f>H261-MAX(H$2:H261)</f>
        <v>-2.6869651762078117E-2</v>
      </c>
      <c r="L261" s="2">
        <f t="shared" si="13"/>
        <v>0.21126421054628117</v>
      </c>
    </row>
    <row r="262" spans="1:12" x14ac:dyDescent="0.25">
      <c r="A262" s="1">
        <v>44292</v>
      </c>
      <c r="B262">
        <v>405.760009765625</v>
      </c>
      <c r="C262">
        <v>393.58800201416</v>
      </c>
      <c r="D262">
        <v>388.77000061035102</v>
      </c>
      <c r="E262" t="str">
        <f t="shared" si="14"/>
        <v>Sell</v>
      </c>
      <c r="F262">
        <f t="shared" si="16"/>
        <v>0</v>
      </c>
      <c r="G262">
        <f t="shared" si="15"/>
        <v>0</v>
      </c>
      <c r="H262" s="12" cm="1">
        <f t="array" ref="H262">PRODUCT(1+G$2:G262)-1</f>
        <v>3.0742413002363467E-2</v>
      </c>
      <c r="I262">
        <f>H262-MAX(H$2:H262)</f>
        <v>-2.6869651762078117E-2</v>
      </c>
      <c r="L262" s="2">
        <f t="shared" si="13"/>
        <v>0.21816930627366476</v>
      </c>
    </row>
    <row r="263" spans="1:12" x14ac:dyDescent="0.25">
      <c r="A263" s="1">
        <v>44293</v>
      </c>
      <c r="B263">
        <v>405.94000244140602</v>
      </c>
      <c r="C263">
        <v>394.59250183105399</v>
      </c>
      <c r="D263">
        <v>389.21540039062398</v>
      </c>
      <c r="E263" t="str">
        <f t="shared" si="14"/>
        <v>Sell</v>
      </c>
      <c r="F263">
        <f t="shared" si="16"/>
        <v>0</v>
      </c>
      <c r="G263">
        <f t="shared" si="15"/>
        <v>0</v>
      </c>
      <c r="H263" s="12" cm="1">
        <f t="array" ref="H263">PRODUCT(1+G$2:G263)-1</f>
        <v>3.0742413002363467E-2</v>
      </c>
      <c r="I263">
        <f>H263-MAX(H$2:H263)</f>
        <v>-2.6869651762078117E-2</v>
      </c>
      <c r="L263" s="2">
        <f t="shared" ref="L263:L326" si="17">(B263-B$134)/B$134</f>
        <v>0.21870967877887335</v>
      </c>
    </row>
    <row r="264" spans="1:12" x14ac:dyDescent="0.25">
      <c r="A264" s="1">
        <v>44294</v>
      </c>
      <c r="B264">
        <v>407.92999267578102</v>
      </c>
      <c r="C264">
        <v>395.50450134277298</v>
      </c>
      <c r="D264">
        <v>389.66580017089802</v>
      </c>
      <c r="E264" t="str">
        <f t="shared" si="14"/>
        <v>Sell</v>
      </c>
      <c r="F264">
        <f t="shared" si="16"/>
        <v>0</v>
      </c>
      <c r="G264">
        <f t="shared" si="15"/>
        <v>0</v>
      </c>
      <c r="H264" s="12" cm="1">
        <f t="array" ref="H264">PRODUCT(1+G$2:G264)-1</f>
        <v>3.0742413002363467E-2</v>
      </c>
      <c r="I264">
        <f>H264-MAX(H$2:H264)</f>
        <v>-2.6869651762078117E-2</v>
      </c>
      <c r="L264" s="2">
        <f t="shared" si="17"/>
        <v>0.22468401081001707</v>
      </c>
    </row>
    <row r="265" spans="1:12" x14ac:dyDescent="0.25">
      <c r="A265" s="1">
        <v>44295</v>
      </c>
      <c r="B265">
        <v>408.39001464843699</v>
      </c>
      <c r="C265">
        <v>396.31250152587802</v>
      </c>
      <c r="D265">
        <v>390.229200439453</v>
      </c>
      <c r="E265" t="str">
        <f t="shared" si="14"/>
        <v>Sell</v>
      </c>
      <c r="F265">
        <f t="shared" si="16"/>
        <v>0</v>
      </c>
      <c r="G265">
        <f t="shared" si="15"/>
        <v>0</v>
      </c>
      <c r="H265" s="12" cm="1">
        <f t="array" ref="H265">PRODUCT(1+G$2:G265)-1</f>
        <v>3.0742413002363467E-2</v>
      </c>
      <c r="I265">
        <f>H265-MAX(H$2:H265)</f>
        <v>-2.6869651762078117E-2</v>
      </c>
      <c r="L265" s="2">
        <f t="shared" si="17"/>
        <v>0.22606508492726349</v>
      </c>
    </row>
    <row r="266" spans="1:12" x14ac:dyDescent="0.25">
      <c r="A266" s="1">
        <v>44298</v>
      </c>
      <c r="B266">
        <v>410.850006103515</v>
      </c>
      <c r="C266">
        <v>397.25150146484299</v>
      </c>
      <c r="D266">
        <v>390.91900085449203</v>
      </c>
      <c r="E266" t="str">
        <f t="shared" si="14"/>
        <v>Sell</v>
      </c>
      <c r="F266">
        <f t="shared" si="16"/>
        <v>0</v>
      </c>
      <c r="G266">
        <f t="shared" si="15"/>
        <v>0</v>
      </c>
      <c r="H266" s="12" cm="1">
        <f t="array" ref="H266">PRODUCT(1+G$2:G266)-1</f>
        <v>3.0742413002363467E-2</v>
      </c>
      <c r="I266">
        <f>H266-MAX(H$2:H266)</f>
        <v>-2.6869651762078117E-2</v>
      </c>
      <c r="L266" s="2">
        <f t="shared" si="17"/>
        <v>0.23345045069064285</v>
      </c>
    </row>
    <row r="267" spans="1:12" x14ac:dyDescent="0.25">
      <c r="A267" s="1">
        <v>44299</v>
      </c>
      <c r="B267">
        <v>411.52999877929602</v>
      </c>
      <c r="C267">
        <v>398.11150207519501</v>
      </c>
      <c r="D267">
        <v>391.63700073242097</v>
      </c>
      <c r="E267" t="str">
        <f t="shared" si="14"/>
        <v>Sell</v>
      </c>
      <c r="F267">
        <f t="shared" si="16"/>
        <v>0</v>
      </c>
      <c r="G267">
        <f t="shared" si="15"/>
        <v>0</v>
      </c>
      <c r="H267" s="12" cm="1">
        <f t="array" ref="H267">PRODUCT(1+G$2:G267)-1</f>
        <v>3.0742413002363467E-2</v>
      </c>
      <c r="I267">
        <f>H267-MAX(H$2:H267)</f>
        <v>-2.6869651762078117E-2</v>
      </c>
      <c r="L267" s="2">
        <f t="shared" si="17"/>
        <v>0.23549191901228897</v>
      </c>
    </row>
    <row r="268" spans="1:12" x14ac:dyDescent="0.25">
      <c r="A268" s="1">
        <v>44300</v>
      </c>
      <c r="B268">
        <v>412.829986572265</v>
      </c>
      <c r="C268">
        <v>398.89950103759702</v>
      </c>
      <c r="D268">
        <v>392.41920043945299</v>
      </c>
      <c r="E268" t="str">
        <f t="shared" si="14"/>
        <v>Sell</v>
      </c>
      <c r="F268">
        <f t="shared" si="16"/>
        <v>0</v>
      </c>
      <c r="G268">
        <f t="shared" si="15"/>
        <v>0</v>
      </c>
      <c r="H268" s="12" cm="1">
        <f t="array" ref="H268">PRODUCT(1+G$2:G268)-1</f>
        <v>3.0742413002363467E-2</v>
      </c>
      <c r="I268">
        <f>H268-MAX(H$2:H268)</f>
        <v>-2.6869651762078117E-2</v>
      </c>
      <c r="L268" s="2">
        <f t="shared" si="17"/>
        <v>0.23939473148718016</v>
      </c>
    </row>
    <row r="269" spans="1:12" x14ac:dyDescent="0.25">
      <c r="A269" s="1">
        <v>44301</v>
      </c>
      <c r="B269">
        <v>413.739990234375</v>
      </c>
      <c r="C269">
        <v>399.86000061035099</v>
      </c>
      <c r="D269">
        <v>393.10100036620997</v>
      </c>
      <c r="E269" t="str">
        <f t="shared" si="14"/>
        <v>Sell</v>
      </c>
      <c r="F269">
        <f t="shared" si="16"/>
        <v>0</v>
      </c>
      <c r="G269">
        <f t="shared" si="15"/>
        <v>0</v>
      </c>
      <c r="H269" s="12" cm="1">
        <f t="array" ref="H269">PRODUCT(1+G$2:G269)-1</f>
        <v>3.0742413002363467E-2</v>
      </c>
      <c r="I269">
        <f>H269-MAX(H$2:H269)</f>
        <v>-2.6869651762078117E-2</v>
      </c>
      <c r="L269" s="2">
        <f t="shared" si="17"/>
        <v>0.24212673686745248</v>
      </c>
    </row>
    <row r="270" spans="1:12" x14ac:dyDescent="0.25">
      <c r="A270" s="1">
        <v>44302</v>
      </c>
      <c r="B270">
        <v>417.25</v>
      </c>
      <c r="C270">
        <v>400.99850006103497</v>
      </c>
      <c r="D270">
        <v>393.79720031738202</v>
      </c>
      <c r="E270" t="str">
        <f t="shared" si="14"/>
        <v>Sell</v>
      </c>
      <c r="F270">
        <f t="shared" si="16"/>
        <v>0</v>
      </c>
      <c r="G270">
        <f t="shared" si="15"/>
        <v>0</v>
      </c>
      <c r="H270" s="12" cm="1">
        <f t="array" ref="H270">PRODUCT(1+G$2:G270)-1</f>
        <v>3.0742413002363467E-2</v>
      </c>
      <c r="I270">
        <f>H270-MAX(H$2:H270)</f>
        <v>-2.6869651762078117E-2</v>
      </c>
      <c r="L270" s="2">
        <f t="shared" si="17"/>
        <v>0.25266445881712163</v>
      </c>
    </row>
    <row r="271" spans="1:12" x14ac:dyDescent="0.25">
      <c r="A271" s="1">
        <v>44305</v>
      </c>
      <c r="B271">
        <v>416.260009765625</v>
      </c>
      <c r="C271">
        <v>402.31750030517497</v>
      </c>
      <c r="D271">
        <v>394.46320068359302</v>
      </c>
      <c r="E271" t="str">
        <f t="shared" si="14"/>
        <v>Sell</v>
      </c>
      <c r="F271">
        <f t="shared" si="16"/>
        <v>0</v>
      </c>
      <c r="G271">
        <f t="shared" si="15"/>
        <v>0</v>
      </c>
      <c r="H271" s="12" cm="1">
        <f t="array" ref="H271">PRODUCT(1+G$2:G271)-1</f>
        <v>3.0742413002363467E-2</v>
      </c>
      <c r="I271">
        <f>H271-MAX(H$2:H271)</f>
        <v>-2.6869651762078117E-2</v>
      </c>
      <c r="L271" s="2">
        <f t="shared" si="17"/>
        <v>0.24969231841885298</v>
      </c>
    </row>
    <row r="272" spans="1:12" x14ac:dyDescent="0.25">
      <c r="A272" s="1">
        <v>44306</v>
      </c>
      <c r="B272">
        <v>413.91000366210898</v>
      </c>
      <c r="C272">
        <v>403.511500549316</v>
      </c>
      <c r="D272">
        <v>394.977400512695</v>
      </c>
      <c r="E272" t="str">
        <f t="shared" si="14"/>
        <v>Sell</v>
      </c>
      <c r="F272">
        <f t="shared" si="16"/>
        <v>0</v>
      </c>
      <c r="G272">
        <f t="shared" si="15"/>
        <v>0</v>
      </c>
      <c r="H272" s="12" cm="1">
        <f t="array" ref="H272">PRODUCT(1+G$2:G272)-1</f>
        <v>3.0742413002363467E-2</v>
      </c>
      <c r="I272">
        <f>H272-MAX(H$2:H272)</f>
        <v>-2.6869651762078117E-2</v>
      </c>
      <c r="L272" s="2">
        <f t="shared" si="17"/>
        <v>0.24263714975767184</v>
      </c>
    </row>
    <row r="273" spans="1:12" x14ac:dyDescent="0.25">
      <c r="A273" s="1">
        <v>44307</v>
      </c>
      <c r="B273">
        <v>411.510009765625</v>
      </c>
      <c r="C273">
        <v>404.49150085449202</v>
      </c>
      <c r="D273">
        <v>395.42220092773402</v>
      </c>
      <c r="E273" t="str">
        <f t="shared" si="14"/>
        <v>Sell</v>
      </c>
      <c r="F273">
        <f t="shared" si="16"/>
        <v>0</v>
      </c>
      <c r="G273">
        <f t="shared" si="15"/>
        <v>0</v>
      </c>
      <c r="H273" s="12" cm="1">
        <f t="array" ref="H273">PRODUCT(1+G$2:G273)-1</f>
        <v>3.0742413002363467E-2</v>
      </c>
      <c r="I273">
        <f>H273-MAX(H$2:H273)</f>
        <v>-2.6869651762078117E-2</v>
      </c>
      <c r="L273" s="2">
        <f t="shared" si="17"/>
        <v>0.23543190816269641</v>
      </c>
    </row>
    <row r="274" spans="1:12" x14ac:dyDescent="0.25">
      <c r="A274" s="1">
        <v>44308</v>
      </c>
      <c r="B274">
        <v>415.89001464843699</v>
      </c>
      <c r="C274">
        <v>405.73600158691403</v>
      </c>
      <c r="D274">
        <v>395.94780151367098</v>
      </c>
      <c r="E274" t="str">
        <f t="shared" si="14"/>
        <v>Sell</v>
      </c>
      <c r="F274">
        <f t="shared" si="16"/>
        <v>0</v>
      </c>
      <c r="G274">
        <f t="shared" si="15"/>
        <v>0</v>
      </c>
      <c r="H274" s="12" cm="1">
        <f t="array" ref="H274">PRODUCT(1+G$2:G274)-1</f>
        <v>3.0742413002363467E-2</v>
      </c>
      <c r="I274">
        <f>H274-MAX(H$2:H274)</f>
        <v>-2.6869651762078117E-2</v>
      </c>
      <c r="L274" s="2">
        <f t="shared" si="17"/>
        <v>0.24858152217382651</v>
      </c>
    </row>
    <row r="275" spans="1:12" x14ac:dyDescent="0.25">
      <c r="A275" s="1">
        <v>44309</v>
      </c>
      <c r="B275">
        <v>412.86999511718699</v>
      </c>
      <c r="C275">
        <v>407.08050079345702</v>
      </c>
      <c r="D275">
        <v>396.362801513671</v>
      </c>
      <c r="E275" t="str">
        <f t="shared" si="14"/>
        <v>Sell</v>
      </c>
      <c r="F275">
        <f t="shared" si="16"/>
        <v>0</v>
      </c>
      <c r="G275">
        <f t="shared" si="15"/>
        <v>0</v>
      </c>
      <c r="H275" s="12" cm="1">
        <f t="array" ref="H275">PRODUCT(1+G$2:G275)-1</f>
        <v>3.0742413002363467E-2</v>
      </c>
      <c r="I275">
        <f>H275-MAX(H$2:H275)</f>
        <v>-2.6869651762078117E-2</v>
      </c>
      <c r="L275" s="2">
        <f t="shared" si="17"/>
        <v>0.23951484480598847</v>
      </c>
    </row>
    <row r="276" spans="1:12" x14ac:dyDescent="0.25">
      <c r="A276" s="1">
        <v>44312</v>
      </c>
      <c r="B276">
        <v>417.44000244140602</v>
      </c>
      <c r="C276">
        <v>408.40600128173799</v>
      </c>
      <c r="D276">
        <v>396.88680175781201</v>
      </c>
      <c r="E276" t="str">
        <f t="shared" si="14"/>
        <v>Sell</v>
      </c>
      <c r="F276">
        <f t="shared" si="16"/>
        <v>0</v>
      </c>
      <c r="G276">
        <f t="shared" si="15"/>
        <v>0</v>
      </c>
      <c r="H276" s="12" cm="1">
        <f t="array" ref="H276">PRODUCT(1+G$2:G276)-1</f>
        <v>3.0742413002363467E-2</v>
      </c>
      <c r="I276">
        <f>H276-MAX(H$2:H276)</f>
        <v>-2.6869651762078117E-2</v>
      </c>
      <c r="L276" s="2">
        <f t="shared" si="17"/>
        <v>0.2532348825569366</v>
      </c>
    </row>
    <row r="277" spans="1:12" x14ac:dyDescent="0.25">
      <c r="A277" s="1">
        <v>44313</v>
      </c>
      <c r="B277">
        <v>417.92999267578102</v>
      </c>
      <c r="C277">
        <v>409.58250122070302</v>
      </c>
      <c r="D277">
        <v>397.44840148925698</v>
      </c>
      <c r="E277" t="str">
        <f t="shared" si="14"/>
        <v>Sell</v>
      </c>
      <c r="F277">
        <f t="shared" si="16"/>
        <v>0</v>
      </c>
      <c r="G277">
        <f t="shared" si="15"/>
        <v>0</v>
      </c>
      <c r="H277" s="12" cm="1">
        <f t="array" ref="H277">PRODUCT(1+G$2:G277)-1</f>
        <v>3.0742413002363467E-2</v>
      </c>
      <c r="I277">
        <f>H277-MAX(H$2:H277)</f>
        <v>-2.6869651762078117E-2</v>
      </c>
      <c r="L277" s="2">
        <f t="shared" si="17"/>
        <v>0.25470592713876772</v>
      </c>
    </row>
    <row r="278" spans="1:12" x14ac:dyDescent="0.25">
      <c r="A278" s="1">
        <v>44314</v>
      </c>
      <c r="B278">
        <v>417.80999755859301</v>
      </c>
      <c r="C278">
        <v>410.752000427246</v>
      </c>
      <c r="D278">
        <v>397.92540161132803</v>
      </c>
      <c r="E278" t="str">
        <f t="shared" si="14"/>
        <v>Sell</v>
      </c>
      <c r="F278">
        <f t="shared" si="16"/>
        <v>0</v>
      </c>
      <c r="G278">
        <f t="shared" si="15"/>
        <v>0</v>
      </c>
      <c r="H278" s="12" cm="1">
        <f t="array" ref="H278">PRODUCT(1+G$2:G278)-1</f>
        <v>3.0742413002363467E-2</v>
      </c>
      <c r="I278">
        <f>H278-MAX(H$2:H278)</f>
        <v>-2.6869651762078117E-2</v>
      </c>
      <c r="L278" s="2">
        <f t="shared" si="17"/>
        <v>0.25434567880196002</v>
      </c>
    </row>
    <row r="279" spans="1:12" x14ac:dyDescent="0.25">
      <c r="A279" s="1">
        <v>44315</v>
      </c>
      <c r="B279">
        <v>420.32000732421801</v>
      </c>
      <c r="C279">
        <v>412.00100097656201</v>
      </c>
      <c r="D279">
        <v>398.52340148925703</v>
      </c>
      <c r="E279" t="str">
        <f t="shared" si="14"/>
        <v>Sell</v>
      </c>
      <c r="F279">
        <f t="shared" si="16"/>
        <v>0</v>
      </c>
      <c r="G279">
        <f t="shared" si="15"/>
        <v>0</v>
      </c>
      <c r="H279" s="12" cm="1">
        <f t="array" ref="H279">PRODUCT(1+G$2:G279)-1</f>
        <v>3.0742413002363467E-2</v>
      </c>
      <c r="I279">
        <f>H279-MAX(H$2:H279)</f>
        <v>-2.6869651762078117E-2</v>
      </c>
      <c r="L279" s="2">
        <f t="shared" si="17"/>
        <v>0.26188120911875412</v>
      </c>
    </row>
    <row r="280" spans="1:12" x14ac:dyDescent="0.25">
      <c r="A280" s="1">
        <v>44316</v>
      </c>
      <c r="B280">
        <v>417.63000488281199</v>
      </c>
      <c r="C280">
        <v>412.962501525878</v>
      </c>
      <c r="D280">
        <v>399.084201660156</v>
      </c>
      <c r="E280" t="str">
        <f t="shared" si="14"/>
        <v>Sell</v>
      </c>
      <c r="F280">
        <f t="shared" si="16"/>
        <v>0</v>
      </c>
      <c r="G280">
        <f t="shared" si="15"/>
        <v>0</v>
      </c>
      <c r="H280" s="12" cm="1">
        <f t="array" ref="H280">PRODUCT(1+G$2:G280)-1</f>
        <v>3.0742413002363467E-2</v>
      </c>
      <c r="I280">
        <f>H280-MAX(H$2:H280)</f>
        <v>-2.6869651762078117E-2</v>
      </c>
      <c r="L280" s="2">
        <f t="shared" si="17"/>
        <v>0.25380530629675147</v>
      </c>
    </row>
    <row r="281" spans="1:12" x14ac:dyDescent="0.25">
      <c r="A281" s="1">
        <v>44319</v>
      </c>
      <c r="B281">
        <v>419.42999267578102</v>
      </c>
      <c r="C281">
        <v>413.76100158691401</v>
      </c>
      <c r="D281">
        <v>399.63140136718698</v>
      </c>
      <c r="E281" t="str">
        <f t="shared" si="14"/>
        <v>Sell</v>
      </c>
      <c r="F281">
        <f t="shared" si="16"/>
        <v>0</v>
      </c>
      <c r="G281">
        <f t="shared" si="15"/>
        <v>0</v>
      </c>
      <c r="H281" s="12" cm="1">
        <f t="array" ref="H281">PRODUCT(1+G$2:G281)-1</f>
        <v>3.0742413002363467E-2</v>
      </c>
      <c r="I281">
        <f>H281-MAX(H$2:H281)</f>
        <v>-2.6869651762078117E-2</v>
      </c>
      <c r="L281" s="2">
        <f t="shared" si="17"/>
        <v>0.25920921458808033</v>
      </c>
    </row>
    <row r="282" spans="1:12" x14ac:dyDescent="0.25">
      <c r="A282" s="1">
        <v>44320</v>
      </c>
      <c r="B282">
        <v>416.07000732421801</v>
      </c>
      <c r="C282">
        <v>414.27650146484302</v>
      </c>
      <c r="D282">
        <v>400.21160156249903</v>
      </c>
      <c r="E282" t="str">
        <f t="shared" si="14"/>
        <v>Sell</v>
      </c>
      <c r="F282">
        <f t="shared" si="16"/>
        <v>0</v>
      </c>
      <c r="G282">
        <f t="shared" si="15"/>
        <v>0</v>
      </c>
      <c r="H282" s="12" cm="1">
        <f t="array" ref="H282">PRODUCT(1+G$2:G282)-1</f>
        <v>3.0742413002363467E-2</v>
      </c>
      <c r="I282">
        <f>H282-MAX(H$2:H282)</f>
        <v>-2.6869651762078117E-2</v>
      </c>
      <c r="L282" s="2">
        <f t="shared" si="17"/>
        <v>0.24912189467903509</v>
      </c>
    </row>
    <row r="283" spans="1:12" x14ac:dyDescent="0.25">
      <c r="A283" s="1">
        <v>44321</v>
      </c>
      <c r="B283">
        <v>417.38000488281199</v>
      </c>
      <c r="C283">
        <v>414.84850158691398</v>
      </c>
      <c r="D283">
        <v>400.86600158691402</v>
      </c>
      <c r="E283" t="str">
        <f t="shared" si="14"/>
        <v>Sell</v>
      </c>
      <c r="F283">
        <f t="shared" si="16"/>
        <v>0</v>
      </c>
      <c r="G283">
        <f t="shared" si="15"/>
        <v>0</v>
      </c>
      <c r="H283" s="12" cm="1">
        <f t="array" ref="H283">PRODUCT(1+G$2:G283)-1</f>
        <v>3.0742413002363467E-2</v>
      </c>
      <c r="I283">
        <f>H283-MAX(H$2:H283)</f>
        <v>-2.6869651762078117E-2</v>
      </c>
      <c r="L283" s="2">
        <f t="shared" si="17"/>
        <v>0.2530547583885327</v>
      </c>
    </row>
    <row r="284" spans="1:12" x14ac:dyDescent="0.25">
      <c r="A284" s="1">
        <v>44322</v>
      </c>
      <c r="B284">
        <v>415.829986572265</v>
      </c>
      <c r="C284">
        <v>415.24350128173802</v>
      </c>
      <c r="D284">
        <v>401.456001586914</v>
      </c>
      <c r="E284" t="str">
        <f t="shared" si="14"/>
        <v>Sell</v>
      </c>
      <c r="F284">
        <f t="shared" si="16"/>
        <v>0</v>
      </c>
      <c r="G284">
        <f t="shared" si="15"/>
        <v>0</v>
      </c>
      <c r="H284" s="12" cm="1">
        <f t="array" ref="H284">PRODUCT(1+G$2:G284)-1</f>
        <v>3.0742413002363467E-2</v>
      </c>
      <c r="I284">
        <f>H284-MAX(H$2:H284)</f>
        <v>-2.6869651762078117E-2</v>
      </c>
      <c r="L284" s="2">
        <f t="shared" si="17"/>
        <v>0.24840130638580538</v>
      </c>
    </row>
    <row r="285" spans="1:12" x14ac:dyDescent="0.25">
      <c r="A285" s="1">
        <v>44323</v>
      </c>
      <c r="B285">
        <v>419.89001464843699</v>
      </c>
      <c r="C285">
        <v>415.81850128173801</v>
      </c>
      <c r="D285">
        <v>402.04560180663998</v>
      </c>
      <c r="E285" t="str">
        <f t="shared" si="14"/>
        <v>Sell</v>
      </c>
      <c r="F285">
        <f t="shared" si="16"/>
        <v>0</v>
      </c>
      <c r="G285">
        <f t="shared" si="15"/>
        <v>0</v>
      </c>
      <c r="H285" s="12" cm="1">
        <f t="array" ref="H285">PRODUCT(1+G$2:G285)-1</f>
        <v>3.0742413002363467E-2</v>
      </c>
      <c r="I285">
        <f>H285-MAX(H$2:H285)</f>
        <v>-2.6869651762078117E-2</v>
      </c>
      <c r="L285" s="2">
        <f t="shared" si="17"/>
        <v>0.26059028870532674</v>
      </c>
    </row>
    <row r="286" spans="1:12" x14ac:dyDescent="0.25">
      <c r="A286" s="1">
        <v>44326</v>
      </c>
      <c r="B286">
        <v>422.5</v>
      </c>
      <c r="C286">
        <v>416.40100097656199</v>
      </c>
      <c r="D286">
        <v>402.80860168457002</v>
      </c>
      <c r="E286" t="str">
        <f t="shared" si="14"/>
        <v>Sell</v>
      </c>
      <c r="F286">
        <f t="shared" si="16"/>
        <v>0</v>
      </c>
      <c r="G286">
        <f t="shared" si="15"/>
        <v>0</v>
      </c>
      <c r="H286" s="12" cm="1">
        <f t="array" ref="H286">PRODUCT(1+G$2:G286)-1</f>
        <v>3.0742413002363467E-2</v>
      </c>
      <c r="I286">
        <f>H286-MAX(H$2:H286)</f>
        <v>-2.6869651762078117E-2</v>
      </c>
      <c r="L286" s="2">
        <f t="shared" si="17"/>
        <v>0.26842596488971571</v>
      </c>
    </row>
    <row r="287" spans="1:12" x14ac:dyDescent="0.25">
      <c r="A287" s="1">
        <v>44327</v>
      </c>
      <c r="B287">
        <v>413.100006103515</v>
      </c>
      <c r="C287">
        <v>416.47950134277301</v>
      </c>
      <c r="D287">
        <v>403.35880187988198</v>
      </c>
      <c r="E287" t="str">
        <f t="shared" si="14"/>
        <v>Hold</v>
      </c>
      <c r="F287">
        <f t="shared" si="16"/>
        <v>0</v>
      </c>
      <c r="G287">
        <f t="shared" si="15"/>
        <v>0</v>
      </c>
      <c r="H287" s="12" cm="1">
        <f t="array" ref="H287">PRODUCT(1+G$2:G287)-1</f>
        <v>3.0742413002363467E-2</v>
      </c>
      <c r="I287">
        <f>H287-MAX(H$2:H287)</f>
        <v>-2.6869651762078117E-2</v>
      </c>
      <c r="L287" s="2">
        <f t="shared" si="17"/>
        <v>0.24020538186461177</v>
      </c>
    </row>
    <row r="288" spans="1:12" x14ac:dyDescent="0.25">
      <c r="A288" s="1">
        <v>44328</v>
      </c>
      <c r="B288">
        <v>411.23001098632801</v>
      </c>
      <c r="C288">
        <v>416.39950256347601</v>
      </c>
      <c r="D288">
        <v>403.78700195312399</v>
      </c>
      <c r="E288" t="str">
        <f t="shared" si="14"/>
        <v>Hold</v>
      </c>
      <c r="F288">
        <f t="shared" si="16"/>
        <v>0</v>
      </c>
      <c r="G288">
        <f t="shared" si="15"/>
        <v>0</v>
      </c>
      <c r="H288" s="12" cm="1">
        <f t="array" ref="H288">PRODUCT(1+G$2:G288)-1</f>
        <v>3.0742413002363467E-2</v>
      </c>
      <c r="I288">
        <f>H288-MAX(H$2:H288)</f>
        <v>-2.6869651762078117E-2</v>
      </c>
      <c r="L288" s="2">
        <f t="shared" si="17"/>
        <v>0.23459129817027574</v>
      </c>
    </row>
    <row r="289" spans="1:12" x14ac:dyDescent="0.25">
      <c r="A289" s="1">
        <v>44329</v>
      </c>
      <c r="B289">
        <v>407.07000732421801</v>
      </c>
      <c r="C289">
        <v>416.06600341796798</v>
      </c>
      <c r="D289">
        <v>404.21260192871</v>
      </c>
      <c r="E289" t="str">
        <f t="shared" si="14"/>
        <v>Hold</v>
      </c>
      <c r="F289">
        <f t="shared" si="16"/>
        <v>0</v>
      </c>
      <c r="G289">
        <f t="shared" si="15"/>
        <v>0</v>
      </c>
      <c r="H289" s="12" cm="1">
        <f t="array" ref="H289">PRODUCT(1+G$2:G289)-1</f>
        <v>3.0742413002363467E-2</v>
      </c>
      <c r="I289">
        <f>H289-MAX(H$2:H289)</f>
        <v>-2.6869651762078117E-2</v>
      </c>
      <c r="L289" s="2">
        <f t="shared" si="17"/>
        <v>0.22210216998315949</v>
      </c>
    </row>
    <row r="290" spans="1:12" x14ac:dyDescent="0.25">
      <c r="A290" s="1">
        <v>44330</v>
      </c>
      <c r="B290">
        <v>413.20999145507801</v>
      </c>
      <c r="C290">
        <v>415.86400299072199</v>
      </c>
      <c r="D290">
        <v>404.85240173339798</v>
      </c>
      <c r="E290" t="str">
        <f t="shared" si="14"/>
        <v>Hold</v>
      </c>
      <c r="F290">
        <f t="shared" si="16"/>
        <v>0</v>
      </c>
      <c r="G290">
        <f t="shared" si="15"/>
        <v>0</v>
      </c>
      <c r="H290" s="12" cm="1">
        <f t="array" ref="H290">PRODUCT(1+G$2:G290)-1</f>
        <v>3.0742413002363467E-2</v>
      </c>
      <c r="I290">
        <f>H290-MAX(H$2:H290)</f>
        <v>-2.6869651762078117E-2</v>
      </c>
      <c r="L290" s="2">
        <f t="shared" si="17"/>
        <v>0.24053557896681305</v>
      </c>
    </row>
    <row r="291" spans="1:12" x14ac:dyDescent="0.25">
      <c r="A291" s="1">
        <v>44333</v>
      </c>
      <c r="B291">
        <v>415.39001464843699</v>
      </c>
      <c r="C291">
        <v>415.820503234863</v>
      </c>
      <c r="D291">
        <v>405.55100219726501</v>
      </c>
      <c r="E291" t="str">
        <f t="shared" si="14"/>
        <v>Sell</v>
      </c>
      <c r="F291">
        <f t="shared" si="16"/>
        <v>0</v>
      </c>
      <c r="G291">
        <f t="shared" si="15"/>
        <v>0</v>
      </c>
      <c r="H291" s="12" cm="1">
        <f t="array" ref="H291">PRODUCT(1+G$2:G291)-1</f>
        <v>3.0742413002363467E-2</v>
      </c>
      <c r="I291">
        <f>H291-MAX(H$2:H291)</f>
        <v>-2.6869651762078117E-2</v>
      </c>
      <c r="L291" s="2">
        <f t="shared" si="17"/>
        <v>0.24708042635738897</v>
      </c>
    </row>
    <row r="292" spans="1:12" x14ac:dyDescent="0.25">
      <c r="A292" s="1">
        <v>44334</v>
      </c>
      <c r="B292">
        <v>415.79998779296801</v>
      </c>
      <c r="C292">
        <v>415.91500244140599</v>
      </c>
      <c r="D292">
        <v>406.17380187988198</v>
      </c>
      <c r="E292" t="str">
        <f t="shared" si="14"/>
        <v>Hold</v>
      </c>
      <c r="F292">
        <f t="shared" si="16"/>
        <v>0</v>
      </c>
      <c r="G292">
        <f t="shared" si="15"/>
        <v>0</v>
      </c>
      <c r="H292" s="12" cm="1">
        <f t="array" ref="H292">PRODUCT(1+G$2:G292)-1</f>
        <v>3.0742413002363467E-2</v>
      </c>
      <c r="I292">
        <f>H292-MAX(H$2:H292)</f>
        <v>-2.6869651762078117E-2</v>
      </c>
      <c r="L292" s="2">
        <f t="shared" si="17"/>
        <v>0.24831124430160348</v>
      </c>
    </row>
    <row r="293" spans="1:12" x14ac:dyDescent="0.25">
      <c r="A293" s="1">
        <v>44335</v>
      </c>
      <c r="B293">
        <v>406.92001342773398</v>
      </c>
      <c r="C293">
        <v>415.685502624511</v>
      </c>
      <c r="D293">
        <v>406.59520202636702</v>
      </c>
      <c r="E293" t="str">
        <f t="shared" si="14"/>
        <v>Hold</v>
      </c>
      <c r="F293">
        <f t="shared" si="16"/>
        <v>0</v>
      </c>
      <c r="G293">
        <f t="shared" si="15"/>
        <v>0</v>
      </c>
      <c r="H293" s="12" cm="1">
        <f t="array" ref="H293">PRODUCT(1+G$2:G293)-1</f>
        <v>3.0742413002363467E-2</v>
      </c>
      <c r="I293">
        <f>H293-MAX(H$2:H293)</f>
        <v>-2.6869651762078117E-2</v>
      </c>
      <c r="L293" s="2">
        <f t="shared" si="17"/>
        <v>0.22165185956215278</v>
      </c>
    </row>
    <row r="294" spans="1:12" x14ac:dyDescent="0.25">
      <c r="A294" s="1">
        <v>44336</v>
      </c>
      <c r="B294">
        <v>411.79998779296801</v>
      </c>
      <c r="C294">
        <v>415.48100128173797</v>
      </c>
      <c r="D294">
        <v>407.03740173339799</v>
      </c>
      <c r="E294" t="str">
        <f t="shared" si="14"/>
        <v>Sell</v>
      </c>
      <c r="F294">
        <f t="shared" si="16"/>
        <v>0</v>
      </c>
      <c r="G294">
        <f t="shared" si="15"/>
        <v>0</v>
      </c>
      <c r="H294" s="12" cm="1">
        <f t="array" ref="H294">PRODUCT(1+G$2:G294)-1</f>
        <v>3.0742413002363467E-2</v>
      </c>
      <c r="I294">
        <f>H294-MAX(H$2:H294)</f>
        <v>-2.6869651762078117E-2</v>
      </c>
      <c r="L294" s="2">
        <f t="shared" si="17"/>
        <v>0.23630247777010321</v>
      </c>
    </row>
    <row r="295" spans="1:12" x14ac:dyDescent="0.25">
      <c r="A295" s="1">
        <v>44337</v>
      </c>
      <c r="B295">
        <v>416.86999511718699</v>
      </c>
      <c r="C295">
        <v>415.68100128173802</v>
      </c>
      <c r="D295">
        <v>407.53020141601502</v>
      </c>
      <c r="E295" t="str">
        <f t="shared" si="14"/>
        <v>Hold</v>
      </c>
      <c r="F295">
        <f t="shared" si="16"/>
        <v>0</v>
      </c>
      <c r="G295">
        <f t="shared" si="15"/>
        <v>0</v>
      </c>
      <c r="H295" s="12" cm="1">
        <f t="array" ref="H295">PRODUCT(1+G$2:G295)-1</f>
        <v>3.0742413002363467E-2</v>
      </c>
      <c r="I295">
        <f>H295-MAX(H$2:H295)</f>
        <v>-2.6869651762078117E-2</v>
      </c>
      <c r="L295" s="2">
        <f t="shared" si="17"/>
        <v>0.25152361133748874</v>
      </c>
    </row>
    <row r="296" spans="1:12" x14ac:dyDescent="0.25">
      <c r="A296" s="1">
        <v>44340</v>
      </c>
      <c r="B296">
        <v>417.33999633789</v>
      </c>
      <c r="C296">
        <v>415.67600097656202</v>
      </c>
      <c r="D296">
        <v>408.03560119628901</v>
      </c>
      <c r="E296" t="str">
        <f t="shared" si="14"/>
        <v>Sell</v>
      </c>
      <c r="F296">
        <f t="shared" si="16"/>
        <v>0</v>
      </c>
      <c r="G296">
        <f t="shared" si="15"/>
        <v>0</v>
      </c>
      <c r="H296" s="12" cm="1">
        <f t="array" ref="H296">PRODUCT(1+G$2:G296)-1</f>
        <v>3.0742413002363467E-2</v>
      </c>
      <c r="I296">
        <f>H296-MAX(H$2:H296)</f>
        <v>-2.6869651762078117E-2</v>
      </c>
      <c r="L296" s="2">
        <f t="shared" si="17"/>
        <v>0.25293464506972435</v>
      </c>
    </row>
    <row r="297" spans="1:12" x14ac:dyDescent="0.25">
      <c r="A297" s="1">
        <v>44341</v>
      </c>
      <c r="B297">
        <v>420.329986572265</v>
      </c>
      <c r="C297">
        <v>415.79600067138603</v>
      </c>
      <c r="D297">
        <v>408.55560119628899</v>
      </c>
      <c r="E297" t="str">
        <f t="shared" si="14"/>
        <v>Sell</v>
      </c>
      <c r="F297">
        <f t="shared" si="16"/>
        <v>0</v>
      </c>
      <c r="G297">
        <f t="shared" si="15"/>
        <v>0</v>
      </c>
      <c r="H297" s="12" cm="1">
        <f t="array" ref="H297">PRODUCT(1+G$2:G297)-1</f>
        <v>3.0742413002363467E-2</v>
      </c>
      <c r="I297">
        <f>H297-MAX(H$2:H297)</f>
        <v>-2.6869651762078117E-2</v>
      </c>
      <c r="L297" s="2">
        <f t="shared" si="17"/>
        <v>0.26191116873374315</v>
      </c>
    </row>
    <row r="298" spans="1:12" x14ac:dyDescent="0.25">
      <c r="A298" s="1">
        <v>44342</v>
      </c>
      <c r="B298">
        <v>418.86999511718699</v>
      </c>
      <c r="C298">
        <v>415.84900054931597</v>
      </c>
      <c r="D298">
        <v>408.99160095214802</v>
      </c>
      <c r="E298" t="str">
        <f t="shared" si="14"/>
        <v>Hold</v>
      </c>
      <c r="F298">
        <f t="shared" si="16"/>
        <v>0</v>
      </c>
      <c r="G298">
        <f t="shared" si="15"/>
        <v>0</v>
      </c>
      <c r="H298" s="12" cm="1">
        <f t="array" ref="H298">PRODUCT(1+G$2:G298)-1</f>
        <v>3.0742413002363467E-2</v>
      </c>
      <c r="I298">
        <f>H298-MAX(H$2:H298)</f>
        <v>-2.6869651762078117E-2</v>
      </c>
      <c r="L298" s="2">
        <f t="shared" si="17"/>
        <v>0.25752799460323889</v>
      </c>
    </row>
    <row r="299" spans="1:12" x14ac:dyDescent="0.25">
      <c r="A299" s="1">
        <v>44343</v>
      </c>
      <c r="B299">
        <v>420.17001342773398</v>
      </c>
      <c r="C299">
        <v>415.84150085449198</v>
      </c>
      <c r="D299">
        <v>409.50440124511698</v>
      </c>
      <c r="E299" t="str">
        <f t="shared" si="14"/>
        <v>Sell</v>
      </c>
      <c r="F299">
        <f t="shared" si="16"/>
        <v>0</v>
      </c>
      <c r="G299">
        <f t="shared" si="15"/>
        <v>0</v>
      </c>
      <c r="H299" s="12" cm="1">
        <f t="array" ref="H299">PRODUCT(1+G$2:G299)-1</f>
        <v>3.0742413002363467E-2</v>
      </c>
      <c r="I299">
        <f>H299-MAX(H$2:H299)</f>
        <v>-2.6869651762078117E-2</v>
      </c>
      <c r="L299" s="2">
        <f t="shared" si="17"/>
        <v>0.26143089869774744</v>
      </c>
    </row>
    <row r="300" spans="1:12" x14ac:dyDescent="0.25">
      <c r="A300" s="1">
        <v>44344</v>
      </c>
      <c r="B300">
        <v>420.97000122070301</v>
      </c>
      <c r="C300">
        <v>416.008500671386</v>
      </c>
      <c r="D300">
        <v>410.03420104980398</v>
      </c>
      <c r="E300" t="str">
        <f t="shared" si="14"/>
        <v>Sell</v>
      </c>
      <c r="F300">
        <f t="shared" si="16"/>
        <v>0</v>
      </c>
      <c r="G300">
        <f t="shared" si="15"/>
        <v>0</v>
      </c>
      <c r="H300" s="12" cm="1">
        <f t="array" ref="H300">PRODUCT(1+G$2:G300)-1</f>
        <v>3.0742413002363467E-2</v>
      </c>
      <c r="I300">
        <f>H300-MAX(H$2:H300)</f>
        <v>-2.6869651762078117E-2</v>
      </c>
      <c r="L300" s="2">
        <f t="shared" si="17"/>
        <v>0.26383261535620123</v>
      </c>
    </row>
    <row r="301" spans="1:12" x14ac:dyDescent="0.25">
      <c r="A301" s="1">
        <v>44348</v>
      </c>
      <c r="B301">
        <v>422.57000732421801</v>
      </c>
      <c r="C301">
        <v>416.16550140380798</v>
      </c>
      <c r="D301">
        <v>410.68800109863201</v>
      </c>
      <c r="E301" t="str">
        <f t="shared" si="14"/>
        <v>Sell</v>
      </c>
      <c r="F301">
        <f t="shared" si="16"/>
        <v>0</v>
      </c>
      <c r="G301">
        <f t="shared" si="15"/>
        <v>0</v>
      </c>
      <c r="H301" s="12" cm="1">
        <f t="array" ref="H301">PRODUCT(1+G$2:G301)-1</f>
        <v>3.0742413002363467E-2</v>
      </c>
      <c r="I301">
        <f>H301-MAX(H$2:H301)</f>
        <v>-2.6869651762078117E-2</v>
      </c>
      <c r="L301" s="2">
        <f t="shared" si="17"/>
        <v>0.26863614029272304</v>
      </c>
    </row>
    <row r="302" spans="1:12" x14ac:dyDescent="0.25">
      <c r="A302" s="1">
        <v>44349</v>
      </c>
      <c r="B302">
        <v>420.36999511718699</v>
      </c>
      <c r="C302">
        <v>416.38050079345697</v>
      </c>
      <c r="D302">
        <v>411.29480102538997</v>
      </c>
      <c r="E302" t="str">
        <f t="shared" si="14"/>
        <v>Sell</v>
      </c>
      <c r="F302">
        <f t="shared" si="16"/>
        <v>0</v>
      </c>
      <c r="G302">
        <f t="shared" si="15"/>
        <v>0</v>
      </c>
      <c r="H302" s="12" cm="1">
        <f t="array" ref="H302">PRODUCT(1+G$2:G302)-1</f>
        <v>3.0742413002363467E-2</v>
      </c>
      <c r="I302">
        <f>H302-MAX(H$2:H302)</f>
        <v>-2.6869651762078117E-2</v>
      </c>
      <c r="L302" s="2">
        <f t="shared" si="17"/>
        <v>0.26203128205255144</v>
      </c>
    </row>
    <row r="303" spans="1:12" x14ac:dyDescent="0.25">
      <c r="A303" s="1">
        <v>44350</v>
      </c>
      <c r="B303">
        <v>417.850006103515</v>
      </c>
      <c r="C303">
        <v>416.40400085449198</v>
      </c>
      <c r="D303">
        <v>411.81360107421801</v>
      </c>
      <c r="E303" t="str">
        <f t="shared" si="14"/>
        <v>Sell</v>
      </c>
      <c r="F303">
        <f t="shared" si="16"/>
        <v>0</v>
      </c>
      <c r="G303">
        <f t="shared" si="15"/>
        <v>0</v>
      </c>
      <c r="H303" s="12" cm="1">
        <f t="array" ref="H303">PRODUCT(1+G$2:G303)-1</f>
        <v>3.0742413002363467E-2</v>
      </c>
      <c r="I303">
        <f>H303-MAX(H$2:H303)</f>
        <v>-2.6869651762078117E-2</v>
      </c>
      <c r="L303" s="2">
        <f t="shared" si="17"/>
        <v>0.25446579212076831</v>
      </c>
    </row>
    <row r="304" spans="1:12" x14ac:dyDescent="0.25">
      <c r="A304" s="1">
        <v>44351</v>
      </c>
      <c r="B304">
        <v>420.75</v>
      </c>
      <c r="C304">
        <v>416.650001525878</v>
      </c>
      <c r="D304">
        <v>412.40860107421798</v>
      </c>
      <c r="E304" t="str">
        <f t="shared" si="14"/>
        <v>Sell</v>
      </c>
      <c r="F304">
        <f t="shared" si="16"/>
        <v>0</v>
      </c>
      <c r="G304">
        <f t="shared" si="15"/>
        <v>0</v>
      </c>
      <c r="H304" s="12" cm="1">
        <f t="array" ref="H304">PRODUCT(1+G$2:G304)-1</f>
        <v>3.0742413002363467E-2</v>
      </c>
      <c r="I304">
        <f>H304-MAX(H$2:H304)</f>
        <v>-2.6869651762078117E-2</v>
      </c>
      <c r="L304" s="2">
        <f t="shared" si="17"/>
        <v>0.26317212953218438</v>
      </c>
    </row>
    <row r="305" spans="1:12" x14ac:dyDescent="0.25">
      <c r="A305" s="1">
        <v>44354</v>
      </c>
      <c r="B305">
        <v>422.58999633789</v>
      </c>
      <c r="C305">
        <v>416.78500061035101</v>
      </c>
      <c r="D305">
        <v>413.14080078124903</v>
      </c>
      <c r="E305" t="str">
        <f t="shared" si="14"/>
        <v>Sell</v>
      </c>
      <c r="F305">
        <f t="shared" si="16"/>
        <v>0</v>
      </c>
      <c r="G305">
        <f t="shared" si="15"/>
        <v>0</v>
      </c>
      <c r="H305" s="12" cm="1">
        <f t="array" ref="H305">PRODUCT(1+G$2:G305)-1</f>
        <v>3.0742413002363467E-2</v>
      </c>
      <c r="I305">
        <f>H305-MAX(H$2:H305)</f>
        <v>-2.6869651762078117E-2</v>
      </c>
      <c r="L305" s="2">
        <f t="shared" si="17"/>
        <v>0.26869615114231848</v>
      </c>
    </row>
    <row r="306" spans="1:12" x14ac:dyDescent="0.25">
      <c r="A306" s="1">
        <v>44355</v>
      </c>
      <c r="B306">
        <v>423.10998535156199</v>
      </c>
      <c r="C306">
        <v>416.81549987792903</v>
      </c>
      <c r="D306">
        <v>413.78440063476501</v>
      </c>
      <c r="E306" t="str">
        <f t="shared" si="14"/>
        <v>Sell</v>
      </c>
      <c r="F306">
        <f t="shared" si="16"/>
        <v>0</v>
      </c>
      <c r="G306">
        <f t="shared" si="15"/>
        <v>0</v>
      </c>
      <c r="H306" s="12" cm="1">
        <f t="array" ref="H306">PRODUCT(1+G$2:G306)-1</f>
        <v>3.0742413002363467E-2</v>
      </c>
      <c r="I306">
        <f>H306-MAX(H$2:H306)</f>
        <v>-2.6869651762078117E-2</v>
      </c>
      <c r="L306" s="2">
        <f t="shared" si="17"/>
        <v>0.27025725780835147</v>
      </c>
    </row>
    <row r="307" spans="1:12" x14ac:dyDescent="0.25">
      <c r="A307" s="1">
        <v>44356</v>
      </c>
      <c r="B307">
        <v>423.17999267578102</v>
      </c>
      <c r="C307">
        <v>417.31949920654199</v>
      </c>
      <c r="D307">
        <v>414.36000061035099</v>
      </c>
      <c r="E307" t="str">
        <f t="shared" si="14"/>
        <v>Sell</v>
      </c>
      <c r="F307">
        <f t="shared" si="16"/>
        <v>0</v>
      </c>
      <c r="G307">
        <f t="shared" si="15"/>
        <v>0</v>
      </c>
      <c r="H307" s="12" cm="1">
        <f t="array" ref="H307">PRODUCT(1+G$2:G307)-1</f>
        <v>3.0742413002363467E-2</v>
      </c>
      <c r="I307">
        <f>H307-MAX(H$2:H307)</f>
        <v>-2.6869651762078117E-2</v>
      </c>
      <c r="L307" s="2">
        <f t="shared" si="17"/>
        <v>0.27046743321136185</v>
      </c>
    </row>
    <row r="308" spans="1:12" x14ac:dyDescent="0.25">
      <c r="A308" s="1">
        <v>44357</v>
      </c>
      <c r="B308">
        <v>422.95999145507801</v>
      </c>
      <c r="C308">
        <v>417.90599822998001</v>
      </c>
      <c r="D308">
        <v>414.93080017089801</v>
      </c>
      <c r="E308" t="str">
        <f t="shared" si="14"/>
        <v>Sell</v>
      </c>
      <c r="F308">
        <f t="shared" si="16"/>
        <v>0</v>
      </c>
      <c r="G308">
        <f t="shared" si="15"/>
        <v>0</v>
      </c>
      <c r="H308" s="12" cm="1">
        <f t="array" ref="H308">PRODUCT(1+G$2:G308)-1</f>
        <v>3.0742413002363467E-2</v>
      </c>
      <c r="I308">
        <f>H308-MAX(H$2:H308)</f>
        <v>-2.6869651762078117E-2</v>
      </c>
      <c r="L308" s="2">
        <f t="shared" si="17"/>
        <v>0.26980694738734495</v>
      </c>
    </row>
    <row r="309" spans="1:12" x14ac:dyDescent="0.25">
      <c r="A309" s="1">
        <v>44358</v>
      </c>
      <c r="B309">
        <v>424.20001220703102</v>
      </c>
      <c r="C309">
        <v>418.762498474121</v>
      </c>
      <c r="D309">
        <v>415.50800048828103</v>
      </c>
      <c r="E309" t="str">
        <f t="shared" si="14"/>
        <v>Sell</v>
      </c>
      <c r="F309">
        <f t="shared" si="16"/>
        <v>0</v>
      </c>
      <c r="G309">
        <f t="shared" si="15"/>
        <v>0</v>
      </c>
      <c r="H309" s="12" cm="1">
        <f t="array" ref="H309">PRODUCT(1+G$2:G309)-1</f>
        <v>3.0742413002363467E-2</v>
      </c>
      <c r="I309">
        <f>H309-MAX(H$2:H309)</f>
        <v>-2.6869651762078117E-2</v>
      </c>
      <c r="L309" s="2">
        <f t="shared" si="17"/>
        <v>0.27352972731344971</v>
      </c>
    </row>
    <row r="310" spans="1:12" x14ac:dyDescent="0.25">
      <c r="A310" s="1">
        <v>44361</v>
      </c>
      <c r="B310">
        <v>424.42999267578102</v>
      </c>
      <c r="C310">
        <v>419.32349853515598</v>
      </c>
      <c r="D310">
        <v>416.02860046386701</v>
      </c>
      <c r="E310" t="str">
        <f t="shared" si="14"/>
        <v>Sell</v>
      </c>
      <c r="F310">
        <f t="shared" si="16"/>
        <v>0</v>
      </c>
      <c r="G310">
        <f t="shared" si="15"/>
        <v>0</v>
      </c>
      <c r="H310" s="12" cm="1">
        <f t="array" ref="H310">PRODUCT(1+G$2:G310)-1</f>
        <v>3.0742413002363467E-2</v>
      </c>
      <c r="I310">
        <f>H310-MAX(H$2:H310)</f>
        <v>-2.6869651762078117E-2</v>
      </c>
      <c r="L310" s="2">
        <f t="shared" si="17"/>
        <v>0.27422017275245569</v>
      </c>
    </row>
    <row r="311" spans="1:12" x14ac:dyDescent="0.25">
      <c r="A311" s="1">
        <v>44362</v>
      </c>
      <c r="B311">
        <v>425.42001342773398</v>
      </c>
      <c r="C311">
        <v>419.824998474121</v>
      </c>
      <c r="D311">
        <v>416.46780090331998</v>
      </c>
      <c r="E311" t="str">
        <f t="shared" si="14"/>
        <v>Sell</v>
      </c>
      <c r="F311">
        <f t="shared" si="16"/>
        <v>0</v>
      </c>
      <c r="G311">
        <f t="shared" si="15"/>
        <v>0</v>
      </c>
      <c r="H311" s="12" cm="1">
        <f t="array" ref="H311">PRODUCT(1+G$2:G311)-1</f>
        <v>3.0742413002363467E-2</v>
      </c>
      <c r="I311">
        <f>H311-MAX(H$2:H311)</f>
        <v>-2.6869651762078117E-2</v>
      </c>
      <c r="L311" s="2">
        <f t="shared" si="17"/>
        <v>0.27719240477034152</v>
      </c>
    </row>
    <row r="312" spans="1:12" x14ac:dyDescent="0.25">
      <c r="A312" s="1">
        <v>44363</v>
      </c>
      <c r="B312">
        <v>424.63000488281199</v>
      </c>
      <c r="C312">
        <v>420.26649932861301</v>
      </c>
      <c r="D312">
        <v>416.84520080566398</v>
      </c>
      <c r="E312" t="str">
        <f t="shared" si="14"/>
        <v>Sell</v>
      </c>
      <c r="F312">
        <f t="shared" si="16"/>
        <v>0</v>
      </c>
      <c r="G312">
        <f t="shared" si="15"/>
        <v>0</v>
      </c>
      <c r="H312" s="12" cm="1">
        <f t="array" ref="H312">PRODUCT(1+G$2:G312)-1</f>
        <v>3.0742413002363467E-2</v>
      </c>
      <c r="I312">
        <f>H312-MAX(H$2:H312)</f>
        <v>-2.6869651762078117E-2</v>
      </c>
      <c r="L312" s="2">
        <f t="shared" si="17"/>
        <v>0.27482064772687692</v>
      </c>
    </row>
    <row r="313" spans="1:12" x14ac:dyDescent="0.25">
      <c r="A313" s="1">
        <v>44364</v>
      </c>
      <c r="B313">
        <v>421.67001342773398</v>
      </c>
      <c r="C313">
        <v>421.00399932861302</v>
      </c>
      <c r="D313">
        <v>417.15980102538998</v>
      </c>
      <c r="E313" t="str">
        <f t="shared" si="14"/>
        <v>Sell</v>
      </c>
      <c r="F313">
        <f t="shared" si="16"/>
        <v>0</v>
      </c>
      <c r="G313">
        <f t="shared" si="15"/>
        <v>0</v>
      </c>
      <c r="H313" s="12" cm="1">
        <f t="array" ref="H313">PRODUCT(1+G$2:G313)-1</f>
        <v>3.0742413002363467E-2</v>
      </c>
      <c r="I313">
        <f>H313-MAX(H$2:H313)</f>
        <v>-2.6869651762078117E-2</v>
      </c>
      <c r="L313" s="2">
        <f t="shared" si="17"/>
        <v>0.26593418614705999</v>
      </c>
    </row>
    <row r="314" spans="1:12" x14ac:dyDescent="0.25">
      <c r="A314" s="1">
        <v>44365</v>
      </c>
      <c r="B314">
        <v>417.08999633789</v>
      </c>
      <c r="C314">
        <v>421.26849975585901</v>
      </c>
      <c r="D314">
        <v>417.34300109863199</v>
      </c>
      <c r="E314" t="str">
        <f t="shared" si="14"/>
        <v>Hold</v>
      </c>
      <c r="F314">
        <f t="shared" si="16"/>
        <v>0</v>
      </c>
      <c r="G314">
        <f t="shared" si="15"/>
        <v>0</v>
      </c>
      <c r="H314" s="12" cm="1">
        <f t="array" ref="H314">PRODUCT(1+G$2:G314)-1</f>
        <v>3.0742413002363467E-2</v>
      </c>
      <c r="I314">
        <f>H314-MAX(H$2:H314)</f>
        <v>-2.6869651762078117E-2</v>
      </c>
      <c r="L314" s="2">
        <f t="shared" si="17"/>
        <v>0.25218409716150564</v>
      </c>
    </row>
    <row r="315" spans="1:12" x14ac:dyDescent="0.25">
      <c r="A315" s="1">
        <v>44368</v>
      </c>
      <c r="B315">
        <v>416.79998779296801</v>
      </c>
      <c r="C315">
        <v>421.26499938964798</v>
      </c>
      <c r="D315">
        <v>417.51120056152303</v>
      </c>
      <c r="E315" t="str">
        <f t="shared" si="14"/>
        <v>Sell</v>
      </c>
      <c r="F315">
        <f t="shared" si="16"/>
        <v>0</v>
      </c>
      <c r="G315">
        <f t="shared" si="15"/>
        <v>0</v>
      </c>
      <c r="H315" s="12" cm="1">
        <f t="array" ref="H315">PRODUCT(1+G$2:G315)-1</f>
        <v>3.0742413002363467E-2</v>
      </c>
      <c r="I315">
        <f>H315-MAX(H$2:H315)</f>
        <v>-2.6869651762078117E-2</v>
      </c>
      <c r="L315" s="2">
        <f t="shared" si="17"/>
        <v>0.25131343593447852</v>
      </c>
    </row>
    <row r="316" spans="1:12" x14ac:dyDescent="0.25">
      <c r="A316" s="1">
        <v>44369</v>
      </c>
      <c r="B316">
        <v>420.850006103515</v>
      </c>
      <c r="C316">
        <v>421.44049987792903</v>
      </c>
      <c r="D316">
        <v>417.71120056152301</v>
      </c>
      <c r="E316" t="str">
        <f t="shared" si="14"/>
        <v>Sell</v>
      </c>
      <c r="F316">
        <f t="shared" si="16"/>
        <v>0</v>
      </c>
      <c r="G316">
        <f t="shared" si="15"/>
        <v>0</v>
      </c>
      <c r="H316" s="12" cm="1">
        <f t="array" ref="H316">PRODUCT(1+G$2:G316)-1</f>
        <v>3.0742413002363467E-2</v>
      </c>
      <c r="I316">
        <f>H316-MAX(H$2:H316)</f>
        <v>-2.6869651762078117E-2</v>
      </c>
      <c r="L316" s="2">
        <f t="shared" si="17"/>
        <v>0.26347236701939353</v>
      </c>
    </row>
    <row r="317" spans="1:12" x14ac:dyDescent="0.25">
      <c r="A317" s="1">
        <v>44370</v>
      </c>
      <c r="B317">
        <v>423.19000244140602</v>
      </c>
      <c r="C317">
        <v>421.58350067138599</v>
      </c>
      <c r="D317">
        <v>417.94440063476497</v>
      </c>
      <c r="E317" t="str">
        <f t="shared" si="14"/>
        <v>Sell</v>
      </c>
      <c r="F317">
        <f t="shared" si="16"/>
        <v>0</v>
      </c>
      <c r="G317">
        <f t="shared" si="15"/>
        <v>0</v>
      </c>
      <c r="H317" s="12" cm="1">
        <f t="array" ref="H317">PRODUCT(1+G$2:G317)-1</f>
        <v>3.0742413002363467E-2</v>
      </c>
      <c r="I317">
        <f>H317-MAX(H$2:H317)</f>
        <v>-2.6869651762078117E-2</v>
      </c>
      <c r="L317" s="2">
        <f t="shared" si="17"/>
        <v>0.27049748444596827</v>
      </c>
    </row>
    <row r="318" spans="1:12" x14ac:dyDescent="0.25">
      <c r="A318" s="1">
        <v>44371</v>
      </c>
      <c r="B318">
        <v>424.89001464843699</v>
      </c>
      <c r="C318">
        <v>421.88450164794898</v>
      </c>
      <c r="D318">
        <v>418.18560119628899</v>
      </c>
      <c r="E318" t="str">
        <f t="shared" si="14"/>
        <v>Sell</v>
      </c>
      <c r="F318">
        <f t="shared" si="16"/>
        <v>0</v>
      </c>
      <c r="G318">
        <f t="shared" si="15"/>
        <v>0</v>
      </c>
      <c r="H318" s="12" cm="1">
        <f t="array" ref="H318">PRODUCT(1+G$2:G318)-1</f>
        <v>3.0742413002363467E-2</v>
      </c>
      <c r="I318">
        <f>H318-MAX(H$2:H318)</f>
        <v>-2.6869651762078117E-2</v>
      </c>
      <c r="L318" s="2">
        <f t="shared" si="17"/>
        <v>0.27560124686970211</v>
      </c>
    </row>
    <row r="319" spans="1:12" x14ac:dyDescent="0.25">
      <c r="A319" s="1">
        <v>44372</v>
      </c>
      <c r="B319">
        <v>425.89999389648398</v>
      </c>
      <c r="C319">
        <v>422.17100067138603</v>
      </c>
      <c r="D319">
        <v>418.42880126953099</v>
      </c>
      <c r="E319" t="str">
        <f t="shared" si="14"/>
        <v>Sell</v>
      </c>
      <c r="F319">
        <f t="shared" si="16"/>
        <v>0</v>
      </c>
      <c r="G319">
        <f t="shared" si="15"/>
        <v>0</v>
      </c>
      <c r="H319" s="12" cm="1">
        <f t="array" ref="H319">PRODUCT(1+G$2:G319)-1</f>
        <v>3.0742413002363467E-2</v>
      </c>
      <c r="I319">
        <f>H319-MAX(H$2:H319)</f>
        <v>-2.6869651762078117E-2</v>
      </c>
      <c r="L319" s="2">
        <f t="shared" si="17"/>
        <v>0.27863339811756621</v>
      </c>
    </row>
    <row r="320" spans="1:12" x14ac:dyDescent="0.25">
      <c r="A320" s="1">
        <v>44375</v>
      </c>
      <c r="B320">
        <v>427.17001342773398</v>
      </c>
      <c r="C320">
        <v>422.48100128173797</v>
      </c>
      <c r="D320">
        <v>418.62720153808499</v>
      </c>
      <c r="E320" t="str">
        <f t="shared" si="14"/>
        <v>Sell</v>
      </c>
      <c r="F320">
        <f t="shared" si="16"/>
        <v>0</v>
      </c>
      <c r="G320">
        <f t="shared" si="15"/>
        <v>0</v>
      </c>
      <c r="H320" s="12" cm="1">
        <f t="array" ref="H320">PRODUCT(1+G$2:G320)-1</f>
        <v>3.0742413002363467E-2</v>
      </c>
      <c r="I320">
        <f>H320-MAX(H$2:H320)</f>
        <v>-2.6869651762078117E-2</v>
      </c>
      <c r="L320" s="2">
        <f t="shared" si="17"/>
        <v>0.28244624012787289</v>
      </c>
    </row>
    <row r="321" spans="1:12" x14ac:dyDescent="0.25">
      <c r="A321" s="1">
        <v>44376</v>
      </c>
      <c r="B321">
        <v>427.88000488281199</v>
      </c>
      <c r="C321">
        <v>422.74650115966699</v>
      </c>
      <c r="D321">
        <v>418.859601440429</v>
      </c>
      <c r="E321" t="str">
        <f t="shared" si="14"/>
        <v>Sell</v>
      </c>
      <c r="F321">
        <f t="shared" si="16"/>
        <v>0</v>
      </c>
      <c r="G321">
        <f t="shared" si="15"/>
        <v>0</v>
      </c>
      <c r="H321" s="12" cm="1">
        <f t="array" ref="H321">PRODUCT(1+G$2:G321)-1</f>
        <v>3.0742413002363467E-2</v>
      </c>
      <c r="I321">
        <f>H321-MAX(H$2:H321)</f>
        <v>-2.6869651762078117E-2</v>
      </c>
      <c r="L321" s="2">
        <f t="shared" si="17"/>
        <v>0.28457777053372085</v>
      </c>
    </row>
    <row r="322" spans="1:12" x14ac:dyDescent="0.25">
      <c r="A322" s="1">
        <v>44377</v>
      </c>
      <c r="B322">
        <v>427.20999145507801</v>
      </c>
      <c r="C322">
        <v>423.08850097656199</v>
      </c>
      <c r="D322">
        <v>419.12560119628898</v>
      </c>
      <c r="E322" t="str">
        <f t="shared" si="14"/>
        <v>Sell</v>
      </c>
      <c r="F322">
        <f t="shared" si="16"/>
        <v>0</v>
      </c>
      <c r="G322">
        <f t="shared" si="15"/>
        <v>0</v>
      </c>
      <c r="H322" s="12" cm="1">
        <f t="array" ref="H322">PRODUCT(1+G$2:G322)-1</f>
        <v>3.0742413002363467E-2</v>
      </c>
      <c r="I322">
        <f>H322-MAX(H$2:H322)</f>
        <v>-2.6869651762078117E-2</v>
      </c>
      <c r="L322" s="2">
        <f t="shared" si="17"/>
        <v>0.28256626182706401</v>
      </c>
    </row>
    <row r="323" spans="1:12" x14ac:dyDescent="0.25">
      <c r="A323" s="1">
        <v>44378</v>
      </c>
      <c r="B323">
        <v>428.86999511718699</v>
      </c>
      <c r="C323">
        <v>423.63950042724599</v>
      </c>
      <c r="D323">
        <v>419.47280090331998</v>
      </c>
      <c r="E323" t="str">
        <f t="shared" ref="E323:E386" si="18">IF(OR(ISBLANK(C323),ISBLANK(D323),ISBLANK(C324),ISBLANK(D324)), "Hold", IF(AND(C323&gt;C324,C324&lt;=D324), "Buy", IF(AND(C323&lt;C324,C324&gt;=D324), "Sell", "Hold")))</f>
        <v>Sell</v>
      </c>
      <c r="F323">
        <f t="shared" si="16"/>
        <v>0</v>
      </c>
      <c r="G323">
        <f t="shared" ref="G323:G386" si="19">IF(F323=1,(B324-B323)/B323,0)</f>
        <v>0</v>
      </c>
      <c r="H323" s="12" cm="1">
        <f t="array" ref="H323">PRODUCT(1+G$2:G323)-1</f>
        <v>3.0742413002363467E-2</v>
      </c>
      <c r="I323">
        <f>H323-MAX(H$2:H323)</f>
        <v>-2.6869651762078117E-2</v>
      </c>
      <c r="L323" s="2">
        <f t="shared" si="17"/>
        <v>0.28754991093198951</v>
      </c>
    </row>
    <row r="324" spans="1:12" x14ac:dyDescent="0.25">
      <c r="A324" s="1">
        <v>44379</v>
      </c>
      <c r="B324">
        <v>431.67001342773398</v>
      </c>
      <c r="C324">
        <v>424.18550109863202</v>
      </c>
      <c r="D324">
        <v>419.78840087890597</v>
      </c>
      <c r="E324" t="str">
        <f t="shared" si="18"/>
        <v>Sell</v>
      </c>
      <c r="F324">
        <f t="shared" ref="F324:F387" si="20">IF(E324="Buy",1, IF(E324="Sell",0,F323))</f>
        <v>0</v>
      </c>
      <c r="G324">
        <f t="shared" si="19"/>
        <v>0</v>
      </c>
      <c r="H324" s="12" cm="1">
        <f t="array" ref="H324">PRODUCT(1+G$2:G324)-1</f>
        <v>3.0742413002363467E-2</v>
      </c>
      <c r="I324">
        <f>H324-MAX(H$2:H324)</f>
        <v>-2.6869651762078117E-2</v>
      </c>
      <c r="L324" s="2">
        <f t="shared" si="17"/>
        <v>0.29595610247581067</v>
      </c>
    </row>
    <row r="325" spans="1:12" x14ac:dyDescent="0.25">
      <c r="A325" s="1">
        <v>44383</v>
      </c>
      <c r="B325">
        <v>433.77999877929602</v>
      </c>
      <c r="C325">
        <v>424.74500122070299</v>
      </c>
      <c r="D325">
        <v>420.20660095214799</v>
      </c>
      <c r="E325" t="str">
        <f t="shared" si="18"/>
        <v>Sell</v>
      </c>
      <c r="F325">
        <f t="shared" si="20"/>
        <v>0</v>
      </c>
      <c r="G325">
        <f t="shared" si="19"/>
        <v>0</v>
      </c>
      <c r="H325" s="12" cm="1">
        <f t="array" ref="H325">PRODUCT(1+G$2:G325)-1</f>
        <v>3.0742413002363467E-2</v>
      </c>
      <c r="I325">
        <f>H325-MAX(H$2:H325)</f>
        <v>-2.6869651762078117E-2</v>
      </c>
      <c r="L325" s="2">
        <f t="shared" si="17"/>
        <v>0.30229068284375921</v>
      </c>
    </row>
    <row r="326" spans="1:12" x14ac:dyDescent="0.25">
      <c r="A326" s="1">
        <v>44384</v>
      </c>
      <c r="B326">
        <v>433.66000366210898</v>
      </c>
      <c r="C326">
        <v>425.27250213623</v>
      </c>
      <c r="D326">
        <v>420.53100097656198</v>
      </c>
      <c r="E326" t="str">
        <f t="shared" si="18"/>
        <v>Sell</v>
      </c>
      <c r="F326">
        <f t="shared" si="20"/>
        <v>0</v>
      </c>
      <c r="G326">
        <f t="shared" si="19"/>
        <v>0</v>
      </c>
      <c r="H326" s="12" cm="1">
        <f t="array" ref="H326">PRODUCT(1+G$2:G326)-1</f>
        <v>3.0742413002363467E-2</v>
      </c>
      <c r="I326">
        <f>H326-MAX(H$2:H326)</f>
        <v>-2.6869651762078117E-2</v>
      </c>
      <c r="L326" s="2">
        <f t="shared" si="17"/>
        <v>0.30193043450695439</v>
      </c>
    </row>
    <row r="327" spans="1:12" x14ac:dyDescent="0.25">
      <c r="A327" s="1">
        <v>44385</v>
      </c>
      <c r="B327">
        <v>428.77999877929602</v>
      </c>
      <c r="C327">
        <v>425.55250244140598</v>
      </c>
      <c r="D327">
        <v>420.74800109863202</v>
      </c>
      <c r="E327" t="str">
        <f t="shared" si="18"/>
        <v>Sell</v>
      </c>
      <c r="F327">
        <f t="shared" si="20"/>
        <v>0</v>
      </c>
      <c r="G327">
        <f t="shared" si="19"/>
        <v>0</v>
      </c>
      <c r="H327" s="12" cm="1">
        <f t="array" ref="H327">PRODUCT(1+G$2:G327)-1</f>
        <v>3.0742413002363467E-2</v>
      </c>
      <c r="I327">
        <f>H327-MAX(H$2:H327)</f>
        <v>-2.6869651762078117E-2</v>
      </c>
      <c r="L327" s="2">
        <f t="shared" ref="L327:L390" si="21">(B327-B$134)/B$134</f>
        <v>0.2872797246793839</v>
      </c>
    </row>
    <row r="328" spans="1:12" x14ac:dyDescent="0.25">
      <c r="A328" s="1">
        <v>44386</v>
      </c>
      <c r="B328">
        <v>432.52999877929602</v>
      </c>
      <c r="C328">
        <v>426.03100280761703</v>
      </c>
      <c r="D328">
        <v>421.04240112304598</v>
      </c>
      <c r="E328" t="str">
        <f t="shared" si="18"/>
        <v>Sell</v>
      </c>
      <c r="F328">
        <f t="shared" si="20"/>
        <v>0</v>
      </c>
      <c r="G328">
        <f t="shared" si="19"/>
        <v>0</v>
      </c>
      <c r="H328" s="12" cm="1">
        <f t="array" ref="H328">PRODUCT(1+G$2:G328)-1</f>
        <v>3.0742413002363467E-2</v>
      </c>
      <c r="I328">
        <f>H328-MAX(H$2:H328)</f>
        <v>-2.6869651762078117E-2</v>
      </c>
      <c r="L328" s="2">
        <f t="shared" si="21"/>
        <v>0.29853794330266537</v>
      </c>
    </row>
    <row r="329" spans="1:12" x14ac:dyDescent="0.25">
      <c r="A329" s="1">
        <v>44389</v>
      </c>
      <c r="B329">
        <v>435.42999267578102</v>
      </c>
      <c r="C329">
        <v>426.59250183105399</v>
      </c>
      <c r="D329">
        <v>421.34460083007798</v>
      </c>
      <c r="E329" t="str">
        <f t="shared" si="18"/>
        <v>Sell</v>
      </c>
      <c r="F329">
        <f t="shared" si="20"/>
        <v>0</v>
      </c>
      <c r="G329">
        <f t="shared" si="19"/>
        <v>0</v>
      </c>
      <c r="H329" s="12" cm="1">
        <f t="array" ref="H329">PRODUCT(1+G$2:G329)-1</f>
        <v>3.0742413002363467E-2</v>
      </c>
      <c r="I329">
        <f>H329-MAX(H$2:H329)</f>
        <v>-2.6869651762078117E-2</v>
      </c>
      <c r="L329" s="2">
        <f t="shared" si="21"/>
        <v>0.30724428071408139</v>
      </c>
    </row>
    <row r="330" spans="1:12" x14ac:dyDescent="0.25">
      <c r="A330" s="1">
        <v>44390</v>
      </c>
      <c r="B330">
        <v>436.239990234375</v>
      </c>
      <c r="C330">
        <v>427.18300170898402</v>
      </c>
      <c r="D330">
        <v>421.71680053710901</v>
      </c>
      <c r="E330" t="str">
        <f t="shared" si="18"/>
        <v>Sell</v>
      </c>
      <c r="F330">
        <f t="shared" si="20"/>
        <v>0</v>
      </c>
      <c r="G330">
        <f t="shared" si="19"/>
        <v>0</v>
      </c>
      <c r="H330" s="12" cm="1">
        <f t="array" ref="H330">PRODUCT(1+G$2:G330)-1</f>
        <v>3.0742413002363467E-2</v>
      </c>
      <c r="I330">
        <f>H330-MAX(H$2:H330)</f>
        <v>-2.6869651762078117E-2</v>
      </c>
      <c r="L330" s="2">
        <f t="shared" si="21"/>
        <v>0.30967604860714149</v>
      </c>
    </row>
    <row r="331" spans="1:12" x14ac:dyDescent="0.25">
      <c r="A331" s="1">
        <v>44391</v>
      </c>
      <c r="B331">
        <v>437.39999389648398</v>
      </c>
      <c r="C331">
        <v>427.78200073242101</v>
      </c>
      <c r="D331">
        <v>422.07620056152302</v>
      </c>
      <c r="E331" t="str">
        <f t="shared" si="18"/>
        <v>Sell</v>
      </c>
      <c r="F331">
        <f t="shared" si="20"/>
        <v>0</v>
      </c>
      <c r="G331">
        <f t="shared" si="19"/>
        <v>0</v>
      </c>
      <c r="H331" s="12" cm="1">
        <f t="array" ref="H331">PRODUCT(1+G$2:G331)-1</f>
        <v>3.0742413002363467E-2</v>
      </c>
      <c r="I331">
        <f>H331-MAX(H$2:H331)</f>
        <v>-2.6869651762078117E-2</v>
      </c>
      <c r="L331" s="2">
        <f t="shared" si="21"/>
        <v>0.3131586018956295</v>
      </c>
    </row>
    <row r="332" spans="1:12" x14ac:dyDescent="0.25">
      <c r="A332" s="1">
        <v>44392</v>
      </c>
      <c r="B332">
        <v>434.80999755859301</v>
      </c>
      <c r="C332">
        <v>428.29100036621003</v>
      </c>
      <c r="D332">
        <v>422.45100036621</v>
      </c>
      <c r="E332" t="str">
        <f t="shared" si="18"/>
        <v>Sell</v>
      </c>
      <c r="F332">
        <f t="shared" si="20"/>
        <v>0</v>
      </c>
      <c r="G332">
        <f t="shared" si="19"/>
        <v>0</v>
      </c>
      <c r="H332" s="12" cm="1">
        <f t="array" ref="H332">PRODUCT(1+G$2:G332)-1</f>
        <v>3.0742413002363467E-2</v>
      </c>
      <c r="I332">
        <f>H332-MAX(H$2:H332)</f>
        <v>-2.6869651762078117E-2</v>
      </c>
      <c r="L332" s="2">
        <f t="shared" si="21"/>
        <v>0.30538293656083615</v>
      </c>
    </row>
    <row r="333" spans="1:12" x14ac:dyDescent="0.25">
      <c r="A333" s="1">
        <v>44393</v>
      </c>
      <c r="B333">
        <v>436.010009765625</v>
      </c>
      <c r="C333">
        <v>429.00800018310503</v>
      </c>
      <c r="D333">
        <v>422.82360046386702</v>
      </c>
      <c r="E333" t="str">
        <f t="shared" si="18"/>
        <v>Sell</v>
      </c>
      <c r="F333">
        <f t="shared" si="20"/>
        <v>0</v>
      </c>
      <c r="G333">
        <f t="shared" si="19"/>
        <v>0</v>
      </c>
      <c r="H333" s="12" cm="1">
        <f t="array" ref="H333">PRODUCT(1+G$2:G333)-1</f>
        <v>3.0742413002363467E-2</v>
      </c>
      <c r="I333">
        <f>H333-MAX(H$2:H333)</f>
        <v>-2.6869651762078117E-2</v>
      </c>
      <c r="L333" s="2">
        <f t="shared" si="21"/>
        <v>0.30898560316813556</v>
      </c>
    </row>
    <row r="334" spans="1:12" x14ac:dyDescent="0.25">
      <c r="A334" s="1">
        <v>44396</v>
      </c>
      <c r="B334">
        <v>426.19000244140602</v>
      </c>
      <c r="C334">
        <v>429.46300048828101</v>
      </c>
      <c r="D334">
        <v>423.03080078124998</v>
      </c>
      <c r="E334" t="str">
        <f t="shared" si="18"/>
        <v>Sell</v>
      </c>
      <c r="F334">
        <f t="shared" si="20"/>
        <v>0</v>
      </c>
      <c r="G334">
        <f t="shared" si="19"/>
        <v>0</v>
      </c>
      <c r="H334" s="12" cm="1">
        <f t="array" ref="H334">PRODUCT(1+G$2:G334)-1</f>
        <v>3.0742413002363467E-2</v>
      </c>
      <c r="I334">
        <f>H334-MAX(H$2:H334)</f>
        <v>-2.6869651762078117E-2</v>
      </c>
      <c r="L334" s="2">
        <f t="shared" si="21"/>
        <v>0.27950405934459344</v>
      </c>
    </row>
    <row r="335" spans="1:12" x14ac:dyDescent="0.25">
      <c r="A335" s="1">
        <v>44397</v>
      </c>
      <c r="B335">
        <v>425.67999267578102</v>
      </c>
      <c r="C335">
        <v>429.90700073242101</v>
      </c>
      <c r="D335">
        <v>423.14660034179599</v>
      </c>
      <c r="E335" t="str">
        <f t="shared" si="18"/>
        <v>Sell</v>
      </c>
      <c r="F335">
        <f t="shared" si="20"/>
        <v>0</v>
      </c>
      <c r="G335">
        <f t="shared" si="19"/>
        <v>0</v>
      </c>
      <c r="H335" s="12" cm="1">
        <f t="array" ref="H335">PRODUCT(1+G$2:G335)-1</f>
        <v>3.0742413002363467E-2</v>
      </c>
      <c r="I335">
        <f>H335-MAX(H$2:H335)</f>
        <v>-2.6869651762078117E-2</v>
      </c>
      <c r="L335" s="2">
        <f t="shared" si="21"/>
        <v>0.27797291229354948</v>
      </c>
    </row>
    <row r="336" spans="1:12" x14ac:dyDescent="0.25">
      <c r="A336" s="1">
        <v>44398</v>
      </c>
      <c r="B336">
        <v>432.33999633789</v>
      </c>
      <c r="C336">
        <v>430.48150024414002</v>
      </c>
      <c r="D336">
        <v>423.34340026855398</v>
      </c>
      <c r="E336" t="str">
        <f t="shared" si="18"/>
        <v>Sell</v>
      </c>
      <c r="F336">
        <f t="shared" si="20"/>
        <v>0</v>
      </c>
      <c r="G336">
        <f t="shared" si="19"/>
        <v>0</v>
      </c>
      <c r="H336" s="12" cm="1">
        <f t="array" ref="H336">PRODUCT(1+G$2:G336)-1</f>
        <v>3.0742413002363467E-2</v>
      </c>
      <c r="I336">
        <f>H336-MAX(H$2:H336)</f>
        <v>-2.6869651762078117E-2</v>
      </c>
      <c r="L336" s="2">
        <f t="shared" si="21"/>
        <v>0.29796751956285039</v>
      </c>
    </row>
    <row r="337" spans="1:12" x14ac:dyDescent="0.25">
      <c r="A337" s="1">
        <v>44399</v>
      </c>
      <c r="B337">
        <v>434.739990234375</v>
      </c>
      <c r="C337">
        <v>431.05899963378903</v>
      </c>
      <c r="D337">
        <v>423.77619995117101</v>
      </c>
      <c r="E337" t="str">
        <f t="shared" si="18"/>
        <v>Sell</v>
      </c>
      <c r="F337">
        <f t="shared" si="20"/>
        <v>0</v>
      </c>
      <c r="G337">
        <f t="shared" si="19"/>
        <v>0</v>
      </c>
      <c r="H337" s="12" cm="1">
        <f t="array" ref="H337">PRODUCT(1+G$2:G337)-1</f>
        <v>3.0742413002363467E-2</v>
      </c>
      <c r="I337">
        <f>H337-MAX(H$2:H337)</f>
        <v>-2.6869651762078117E-2</v>
      </c>
      <c r="L337" s="2">
        <f t="shared" si="21"/>
        <v>0.30517276115782888</v>
      </c>
    </row>
    <row r="338" spans="1:12" x14ac:dyDescent="0.25">
      <c r="A338" s="1">
        <v>44400</v>
      </c>
      <c r="B338">
        <v>437.51998901367102</v>
      </c>
      <c r="C338">
        <v>431.69049835204999</v>
      </c>
      <c r="D338">
        <v>424.30199951171801</v>
      </c>
      <c r="E338" t="str">
        <f t="shared" si="18"/>
        <v>Sell</v>
      </c>
      <c r="F338">
        <f t="shared" si="20"/>
        <v>0</v>
      </c>
      <c r="G338">
        <f t="shared" si="19"/>
        <v>0</v>
      </c>
      <c r="H338" s="12" cm="1">
        <f t="array" ref="H338">PRODUCT(1+G$2:G338)-1</f>
        <v>3.0742413002363467E-2</v>
      </c>
      <c r="I338">
        <f>H338-MAX(H$2:H338)</f>
        <v>-2.6869651762078117E-2</v>
      </c>
      <c r="L338" s="2">
        <f t="shared" si="21"/>
        <v>0.31351885023243431</v>
      </c>
    </row>
    <row r="339" spans="1:12" x14ac:dyDescent="0.25">
      <c r="A339" s="1">
        <v>44403</v>
      </c>
      <c r="B339">
        <v>439.30999755859301</v>
      </c>
      <c r="C339">
        <v>432.360998535156</v>
      </c>
      <c r="D339">
        <v>424.94679931640599</v>
      </c>
      <c r="E339" t="str">
        <f t="shared" si="18"/>
        <v>Sell</v>
      </c>
      <c r="F339">
        <f t="shared" si="20"/>
        <v>0</v>
      </c>
      <c r="G339">
        <f t="shared" si="19"/>
        <v>0</v>
      </c>
      <c r="H339" s="12" cm="1">
        <f t="array" ref="H339">PRODUCT(1+G$2:G339)-1</f>
        <v>3.0742413002363467E-2</v>
      </c>
      <c r="I339">
        <f>H339-MAX(H$2:H339)</f>
        <v>-2.6869651762078117E-2</v>
      </c>
      <c r="L339" s="2">
        <f t="shared" si="21"/>
        <v>0.31889279890877398</v>
      </c>
    </row>
    <row r="340" spans="1:12" x14ac:dyDescent="0.25">
      <c r="A340" s="1">
        <v>44404</v>
      </c>
      <c r="B340">
        <v>439.91000366210898</v>
      </c>
      <c r="C340">
        <v>432.99799804687501</v>
      </c>
      <c r="D340">
        <v>425.48079956054602</v>
      </c>
      <c r="E340" t="str">
        <f t="shared" si="18"/>
        <v>Sell</v>
      </c>
      <c r="F340">
        <f t="shared" si="20"/>
        <v>0</v>
      </c>
      <c r="G340">
        <f t="shared" si="19"/>
        <v>0</v>
      </c>
      <c r="H340" s="12" cm="1">
        <f t="array" ref="H340">PRODUCT(1+G$2:G340)-1</f>
        <v>3.0742413002363467E-2</v>
      </c>
      <c r="I340">
        <f>H340-MAX(H$2:H340)</f>
        <v>-2.6869651762078117E-2</v>
      </c>
      <c r="L340" s="2">
        <f t="shared" si="21"/>
        <v>0.32069413221242354</v>
      </c>
    </row>
    <row r="341" spans="1:12" x14ac:dyDescent="0.25">
      <c r="A341" s="1">
        <v>44405</v>
      </c>
      <c r="B341">
        <v>439.67999267578102</v>
      </c>
      <c r="C341">
        <v>433.58799743652298</v>
      </c>
      <c r="D341">
        <v>425.966599121093</v>
      </c>
      <c r="E341" t="str">
        <f t="shared" si="18"/>
        <v>Sell</v>
      </c>
      <c r="F341">
        <f t="shared" si="20"/>
        <v>0</v>
      </c>
      <c r="G341">
        <f t="shared" si="19"/>
        <v>0</v>
      </c>
      <c r="H341" s="12" cm="1">
        <f t="array" ref="H341">PRODUCT(1+G$2:G341)-1</f>
        <v>3.0742413002363467E-2</v>
      </c>
      <c r="I341">
        <f>H341-MAX(H$2:H341)</f>
        <v>-2.6869651762078117E-2</v>
      </c>
      <c r="L341" s="2">
        <f t="shared" si="21"/>
        <v>0.32000359515380045</v>
      </c>
    </row>
    <row r="342" spans="1:12" x14ac:dyDescent="0.25">
      <c r="A342" s="1">
        <v>44406</v>
      </c>
      <c r="B342">
        <v>439.82000732421801</v>
      </c>
      <c r="C342">
        <v>434.21849822998001</v>
      </c>
      <c r="D342">
        <v>426.44699951171799</v>
      </c>
      <c r="E342" t="str">
        <f t="shared" si="18"/>
        <v>Sell</v>
      </c>
      <c r="F342">
        <f t="shared" si="20"/>
        <v>0</v>
      </c>
      <c r="G342">
        <f t="shared" si="19"/>
        <v>0</v>
      </c>
      <c r="H342" s="12" cm="1">
        <f t="array" ref="H342">PRODUCT(1+G$2:G342)-1</f>
        <v>3.0742413002363467E-2</v>
      </c>
      <c r="I342">
        <f>H342-MAX(H$2:H342)</f>
        <v>-2.6869651762078117E-2</v>
      </c>
      <c r="L342" s="2">
        <f t="shared" si="21"/>
        <v>0.32042394595981794</v>
      </c>
    </row>
    <row r="343" spans="1:12" x14ac:dyDescent="0.25">
      <c r="A343" s="1">
        <v>44407</v>
      </c>
      <c r="B343">
        <v>437.91000366210898</v>
      </c>
      <c r="C343">
        <v>434.67049865722601</v>
      </c>
      <c r="D343">
        <v>427.06679931640599</v>
      </c>
      <c r="E343" t="str">
        <f t="shared" si="18"/>
        <v>Sell</v>
      </c>
      <c r="F343">
        <f t="shared" si="20"/>
        <v>0</v>
      </c>
      <c r="G343">
        <f t="shared" si="19"/>
        <v>0</v>
      </c>
      <c r="H343" s="12" cm="1">
        <f t="array" ref="H343">PRODUCT(1+G$2:G343)-1</f>
        <v>3.0742413002363467E-2</v>
      </c>
      <c r="I343">
        <f>H343-MAX(H$2:H343)</f>
        <v>-2.6869651762078117E-2</v>
      </c>
      <c r="L343" s="2">
        <f t="shared" si="21"/>
        <v>0.31468974894667345</v>
      </c>
    </row>
    <row r="344" spans="1:12" x14ac:dyDescent="0.25">
      <c r="A344" s="1">
        <v>44410</v>
      </c>
      <c r="B344">
        <v>440.33999633789</v>
      </c>
      <c r="C344">
        <v>435.103997802734</v>
      </c>
      <c r="D344">
        <v>427.63759948730399</v>
      </c>
      <c r="E344" t="str">
        <f t="shared" si="18"/>
        <v>Sell</v>
      </c>
      <c r="F344">
        <f t="shared" si="20"/>
        <v>0</v>
      </c>
      <c r="G344">
        <f t="shared" si="19"/>
        <v>0</v>
      </c>
      <c r="H344" s="12" cm="1">
        <f t="array" ref="H344">PRODUCT(1+G$2:G344)-1</f>
        <v>3.0742413002363467E-2</v>
      </c>
      <c r="I344">
        <f>H344-MAX(H$2:H344)</f>
        <v>-2.6869651762078117E-2</v>
      </c>
      <c r="L344" s="2">
        <f t="shared" si="21"/>
        <v>0.32198505262585092</v>
      </c>
    </row>
    <row r="345" spans="1:12" x14ac:dyDescent="0.25">
      <c r="A345" s="1">
        <v>44411</v>
      </c>
      <c r="B345">
        <v>438.44000244140602</v>
      </c>
      <c r="C345">
        <v>435.33699798583899</v>
      </c>
      <c r="D345">
        <v>428.06899963378902</v>
      </c>
      <c r="E345" t="str">
        <f t="shared" si="18"/>
        <v>Sell</v>
      </c>
      <c r="F345">
        <f t="shared" si="20"/>
        <v>0</v>
      </c>
      <c r="G345">
        <f t="shared" si="19"/>
        <v>0</v>
      </c>
      <c r="H345" s="12" cm="1">
        <f t="array" ref="H345">PRODUCT(1+G$2:G345)-1</f>
        <v>3.0742413002363467E-2</v>
      </c>
      <c r="I345">
        <f>H345-MAX(H$2:H345)</f>
        <v>-2.6869651762078117E-2</v>
      </c>
      <c r="L345" s="2">
        <f t="shared" si="21"/>
        <v>0.31628090684731303</v>
      </c>
    </row>
    <row r="346" spans="1:12" x14ac:dyDescent="0.25">
      <c r="A346" s="1">
        <v>44412</v>
      </c>
      <c r="B346">
        <v>439.77999877929602</v>
      </c>
      <c r="C346">
        <v>435.64299774169899</v>
      </c>
      <c r="D346">
        <v>428.51779968261701</v>
      </c>
      <c r="E346" t="str">
        <f t="shared" si="18"/>
        <v>Sell</v>
      </c>
      <c r="F346">
        <f t="shared" si="20"/>
        <v>0</v>
      </c>
      <c r="G346">
        <f t="shared" si="19"/>
        <v>0</v>
      </c>
      <c r="H346" s="12" cm="1">
        <f t="array" ref="H346">PRODUCT(1+G$2:G346)-1</f>
        <v>3.0742413002363467E-2</v>
      </c>
      <c r="I346">
        <f>H346-MAX(H$2:H346)</f>
        <v>-2.6869651762078117E-2</v>
      </c>
      <c r="L346" s="2">
        <f t="shared" si="21"/>
        <v>0.32030383264100959</v>
      </c>
    </row>
    <row r="347" spans="1:12" x14ac:dyDescent="0.25">
      <c r="A347" s="1">
        <v>44413</v>
      </c>
      <c r="B347">
        <v>440.22000122070301</v>
      </c>
      <c r="C347">
        <v>436.21499786376899</v>
      </c>
      <c r="D347">
        <v>428.915599975585</v>
      </c>
      <c r="E347" t="str">
        <f t="shared" si="18"/>
        <v>Sell</v>
      </c>
      <c r="F347">
        <f t="shared" si="20"/>
        <v>0</v>
      </c>
      <c r="G347">
        <f t="shared" si="19"/>
        <v>0</v>
      </c>
      <c r="H347" s="12" cm="1">
        <f t="array" ref="H347">PRODUCT(1+G$2:G347)-1</f>
        <v>3.0742413002363467E-2</v>
      </c>
      <c r="I347">
        <f>H347-MAX(H$2:H347)</f>
        <v>-2.6869651762078117E-2</v>
      </c>
      <c r="L347" s="2">
        <f t="shared" si="21"/>
        <v>0.32162480428904627</v>
      </c>
    </row>
    <row r="348" spans="1:12" x14ac:dyDescent="0.25">
      <c r="A348" s="1">
        <v>44414</v>
      </c>
      <c r="B348">
        <v>442.100006103515</v>
      </c>
      <c r="C348">
        <v>436.69349822997998</v>
      </c>
      <c r="D348">
        <v>429.380200195312</v>
      </c>
      <c r="E348" t="str">
        <f t="shared" si="18"/>
        <v>Sell</v>
      </c>
      <c r="F348">
        <f t="shared" si="20"/>
        <v>0</v>
      </c>
      <c r="G348">
        <f t="shared" si="19"/>
        <v>0</v>
      </c>
      <c r="H348" s="12" cm="1">
        <f t="array" ref="H348">PRODUCT(1+G$2:G348)-1</f>
        <v>3.0742413002363467E-2</v>
      </c>
      <c r="I348">
        <f>H348-MAX(H$2:H348)</f>
        <v>-2.6869651762078117E-2</v>
      </c>
      <c r="L348" s="2">
        <f t="shared" si="21"/>
        <v>0.32726893921798872</v>
      </c>
    </row>
    <row r="349" spans="1:12" x14ac:dyDescent="0.25">
      <c r="A349" s="1">
        <v>44417</v>
      </c>
      <c r="B349">
        <v>442.45999145507801</v>
      </c>
      <c r="C349">
        <v>437.04499816894503</v>
      </c>
      <c r="D349">
        <v>429.82599975585902</v>
      </c>
      <c r="E349" t="str">
        <f t="shared" si="18"/>
        <v>Sell</v>
      </c>
      <c r="F349">
        <f t="shared" si="20"/>
        <v>0</v>
      </c>
      <c r="G349">
        <f t="shared" si="19"/>
        <v>0</v>
      </c>
      <c r="H349" s="12" cm="1">
        <f t="array" ref="H349">PRODUCT(1+G$2:G349)-1</f>
        <v>3.0742413002363467E-2</v>
      </c>
      <c r="I349">
        <f>H349-MAX(H$2:H349)</f>
        <v>-2.6869651762078117E-2</v>
      </c>
      <c r="L349" s="2">
        <f t="shared" si="21"/>
        <v>0.32834968422840877</v>
      </c>
    </row>
    <row r="350" spans="1:12" x14ac:dyDescent="0.25">
      <c r="A350" s="1">
        <v>44418</v>
      </c>
      <c r="B350">
        <v>442.60998535156199</v>
      </c>
      <c r="C350">
        <v>437.36349792480399</v>
      </c>
      <c r="D350">
        <v>430.25879943847599</v>
      </c>
      <c r="E350" t="str">
        <f t="shared" si="18"/>
        <v>Sell</v>
      </c>
      <c r="F350">
        <f t="shared" si="20"/>
        <v>0</v>
      </c>
      <c r="G350">
        <f t="shared" si="19"/>
        <v>0</v>
      </c>
      <c r="H350" s="12" cm="1">
        <f t="array" ref="H350">PRODUCT(1+G$2:G350)-1</f>
        <v>3.0742413002363467E-2</v>
      </c>
      <c r="I350">
        <f>H350-MAX(H$2:H350)</f>
        <v>-2.6869651762078117E-2</v>
      </c>
      <c r="L350" s="2">
        <f t="shared" si="21"/>
        <v>0.32879999464941528</v>
      </c>
    </row>
    <row r="351" spans="1:12" x14ac:dyDescent="0.25">
      <c r="A351" s="1">
        <v>44419</v>
      </c>
      <c r="B351">
        <v>443.82000732421801</v>
      </c>
      <c r="C351">
        <v>437.68449859619102</v>
      </c>
      <c r="D351">
        <v>430.683799438476</v>
      </c>
      <c r="E351" t="str">
        <f t="shared" si="18"/>
        <v>Sell</v>
      </c>
      <c r="F351">
        <f t="shared" si="20"/>
        <v>0</v>
      </c>
      <c r="G351">
        <f t="shared" si="19"/>
        <v>0</v>
      </c>
      <c r="H351" s="12" cm="1">
        <f t="array" ref="H351">PRODUCT(1+G$2:G351)-1</f>
        <v>3.0742413002363467E-2</v>
      </c>
      <c r="I351">
        <f>H351-MAX(H$2:H351)</f>
        <v>-2.6869651762078117E-2</v>
      </c>
      <c r="L351" s="2">
        <f t="shared" si="21"/>
        <v>0.33243271249131817</v>
      </c>
    </row>
    <row r="352" spans="1:12" x14ac:dyDescent="0.25">
      <c r="A352" s="1">
        <v>44420</v>
      </c>
      <c r="B352">
        <v>443.61999511718699</v>
      </c>
      <c r="C352">
        <v>438.12499847412101</v>
      </c>
      <c r="D352">
        <v>431.14879943847598</v>
      </c>
      <c r="E352" t="str">
        <f t="shared" si="18"/>
        <v>Sell</v>
      </c>
      <c r="F352">
        <f t="shared" si="20"/>
        <v>0</v>
      </c>
      <c r="G352">
        <f t="shared" si="19"/>
        <v>0</v>
      </c>
      <c r="H352" s="12" cm="1">
        <f t="array" ref="H352">PRODUCT(1+G$2:G352)-1</f>
        <v>3.0742413002363467E-2</v>
      </c>
      <c r="I352">
        <f>H352-MAX(H$2:H352)</f>
        <v>-2.6869651762078117E-2</v>
      </c>
      <c r="L352" s="2">
        <f t="shared" si="21"/>
        <v>0.33183223751689678</v>
      </c>
    </row>
    <row r="353" spans="1:12" x14ac:dyDescent="0.25">
      <c r="A353" s="1">
        <v>44421</v>
      </c>
      <c r="B353">
        <v>445.58999633789</v>
      </c>
      <c r="C353">
        <v>438.603997802734</v>
      </c>
      <c r="D353">
        <v>431.70359924316398</v>
      </c>
      <c r="E353" t="str">
        <f t="shared" si="18"/>
        <v>Sell</v>
      </c>
      <c r="F353">
        <f t="shared" si="20"/>
        <v>0</v>
      </c>
      <c r="G353">
        <f t="shared" si="19"/>
        <v>0</v>
      </c>
      <c r="H353" s="12" cm="1">
        <f t="array" ref="H353">PRODUCT(1+G$2:G353)-1</f>
        <v>3.0742413002363467E-2</v>
      </c>
      <c r="I353">
        <f>H353-MAX(H$2:H353)</f>
        <v>-2.6869651762078117E-2</v>
      </c>
      <c r="L353" s="2">
        <f t="shared" si="21"/>
        <v>0.337746558698445</v>
      </c>
    </row>
    <row r="354" spans="1:12" x14ac:dyDescent="0.25">
      <c r="A354" s="1">
        <v>44424</v>
      </c>
      <c r="B354">
        <v>444.52999877929602</v>
      </c>
      <c r="C354">
        <v>439.52099761962802</v>
      </c>
      <c r="D354">
        <v>432.17919921875</v>
      </c>
      <c r="E354" t="str">
        <f t="shared" si="18"/>
        <v>Sell</v>
      </c>
      <c r="F354">
        <f t="shared" si="20"/>
        <v>0</v>
      </c>
      <c r="G354">
        <f t="shared" si="19"/>
        <v>0</v>
      </c>
      <c r="H354" s="12" cm="1">
        <f t="array" ref="H354">PRODUCT(1+G$2:G354)-1</f>
        <v>3.0742413002363467E-2</v>
      </c>
      <c r="I354">
        <f>H354-MAX(H$2:H354)</f>
        <v>-2.6869651762078117E-2</v>
      </c>
      <c r="L354" s="2">
        <f t="shared" si="21"/>
        <v>0.33456424289716619</v>
      </c>
    </row>
    <row r="355" spans="1:12" x14ac:dyDescent="0.25">
      <c r="A355" s="1">
        <v>44425</v>
      </c>
      <c r="B355">
        <v>444.239990234375</v>
      </c>
      <c r="C355">
        <v>440.44899749755803</v>
      </c>
      <c r="D355">
        <v>432.61219909667898</v>
      </c>
      <c r="E355" t="str">
        <f t="shared" si="18"/>
        <v>Sell</v>
      </c>
      <c r="F355">
        <f t="shared" si="20"/>
        <v>0</v>
      </c>
      <c r="G355">
        <f t="shared" si="19"/>
        <v>0</v>
      </c>
      <c r="H355" s="12" cm="1">
        <f t="array" ref="H355">PRODUCT(1+G$2:G355)-1</f>
        <v>3.0742413002363467E-2</v>
      </c>
      <c r="I355">
        <f>H355-MAX(H$2:H355)</f>
        <v>-2.6869651762078117E-2</v>
      </c>
      <c r="L355" s="2">
        <f t="shared" si="21"/>
        <v>0.33369358167014201</v>
      </c>
    </row>
    <row r="356" spans="1:12" x14ac:dyDescent="0.25">
      <c r="A356" s="1">
        <v>44426</v>
      </c>
      <c r="B356">
        <v>442.95999145507801</v>
      </c>
      <c r="C356">
        <v>440.97999725341703</v>
      </c>
      <c r="D356">
        <v>433.00919921874998</v>
      </c>
      <c r="E356" t="str">
        <f t="shared" si="18"/>
        <v>Sell</v>
      </c>
      <c r="F356">
        <f t="shared" si="20"/>
        <v>0</v>
      </c>
      <c r="G356">
        <f t="shared" si="19"/>
        <v>0</v>
      </c>
      <c r="H356" s="12" cm="1">
        <f t="array" ref="H356">PRODUCT(1+G$2:G356)-1</f>
        <v>3.0742413002363467E-2</v>
      </c>
      <c r="I356">
        <f>H356-MAX(H$2:H356)</f>
        <v>-2.6869651762078117E-2</v>
      </c>
      <c r="L356" s="2">
        <f t="shared" si="21"/>
        <v>0.3298507800448463</v>
      </c>
    </row>
    <row r="357" spans="1:12" x14ac:dyDescent="0.25">
      <c r="A357" s="1">
        <v>44427</v>
      </c>
      <c r="B357">
        <v>436.26998901367102</v>
      </c>
      <c r="C357">
        <v>441.05649719238198</v>
      </c>
      <c r="D357">
        <v>433.27099914550701</v>
      </c>
      <c r="E357" t="str">
        <f t="shared" si="18"/>
        <v>Sell</v>
      </c>
      <c r="F357">
        <f t="shared" si="20"/>
        <v>0</v>
      </c>
      <c r="G357">
        <f t="shared" si="19"/>
        <v>0</v>
      </c>
      <c r="H357" s="12" cm="1">
        <f t="array" ref="H357">PRODUCT(1+G$2:G357)-1</f>
        <v>3.0742413002363467E-2</v>
      </c>
      <c r="I357">
        <f>H357-MAX(H$2:H357)</f>
        <v>-2.6869651762078117E-2</v>
      </c>
      <c r="L357" s="2">
        <f t="shared" si="21"/>
        <v>0.30976611069134047</v>
      </c>
    </row>
    <row r="358" spans="1:12" x14ac:dyDescent="0.25">
      <c r="A358" s="1">
        <v>44428</v>
      </c>
      <c r="B358">
        <v>440.23001098632801</v>
      </c>
      <c r="C358">
        <v>441.19199829101501</v>
      </c>
      <c r="D358">
        <v>433.61639953613201</v>
      </c>
      <c r="E358" t="str">
        <f t="shared" si="18"/>
        <v>Sell</v>
      </c>
      <c r="F358">
        <f t="shared" si="20"/>
        <v>0</v>
      </c>
      <c r="G358">
        <f t="shared" si="19"/>
        <v>0</v>
      </c>
      <c r="H358" s="12" cm="1">
        <f t="array" ref="H358">PRODUCT(1+G$2:G358)-1</f>
        <v>3.0742413002363467E-2</v>
      </c>
      <c r="I358">
        <f>H358-MAX(H$2:H358)</f>
        <v>-2.6869651762078117E-2</v>
      </c>
      <c r="L358" s="2">
        <f t="shared" si="21"/>
        <v>0.32165485552365269</v>
      </c>
    </row>
    <row r="359" spans="1:12" x14ac:dyDescent="0.25">
      <c r="A359" s="1">
        <v>44431</v>
      </c>
      <c r="B359">
        <v>445.16000366210898</v>
      </c>
      <c r="C359">
        <v>441.48449859619097</v>
      </c>
      <c r="D359">
        <v>434.03559936523402</v>
      </c>
      <c r="E359" t="str">
        <f t="shared" si="18"/>
        <v>Sell</v>
      </c>
      <c r="F359">
        <f t="shared" si="20"/>
        <v>0</v>
      </c>
      <c r="G359">
        <f t="shared" si="19"/>
        <v>0</v>
      </c>
      <c r="H359" s="12" cm="1">
        <f t="array" ref="H359">PRODUCT(1+G$2:G359)-1</f>
        <v>3.0742413002363467E-2</v>
      </c>
      <c r="I359">
        <f>H359-MAX(H$2:H359)</f>
        <v>-2.6869651762078117E-2</v>
      </c>
      <c r="L359" s="2">
        <f t="shared" si="21"/>
        <v>0.33645563828501768</v>
      </c>
    </row>
    <row r="360" spans="1:12" x14ac:dyDescent="0.25">
      <c r="A360" s="1">
        <v>44432</v>
      </c>
      <c r="B360">
        <v>447.97000122070301</v>
      </c>
      <c r="C360">
        <v>441.887498474121</v>
      </c>
      <c r="D360">
        <v>434.50639953613199</v>
      </c>
      <c r="E360" t="str">
        <f t="shared" si="18"/>
        <v>Sell</v>
      </c>
      <c r="F360">
        <f t="shared" si="20"/>
        <v>0</v>
      </c>
      <c r="G360">
        <f t="shared" si="19"/>
        <v>0</v>
      </c>
      <c r="H360" s="12" cm="1">
        <f t="array" ref="H360">PRODUCT(1+G$2:G360)-1</f>
        <v>3.0742413002363467E-2</v>
      </c>
      <c r="I360">
        <f>H360-MAX(H$2:H360)</f>
        <v>-2.6869651762078117E-2</v>
      </c>
      <c r="L360" s="2">
        <f t="shared" si="21"/>
        <v>0.34489178944382803</v>
      </c>
    </row>
    <row r="361" spans="1:12" x14ac:dyDescent="0.25">
      <c r="A361" s="1">
        <v>44433</v>
      </c>
      <c r="B361">
        <v>448.17001342773398</v>
      </c>
      <c r="C361">
        <v>442.311999511718</v>
      </c>
      <c r="D361">
        <v>434.96139953613198</v>
      </c>
      <c r="E361" t="str">
        <f t="shared" si="18"/>
        <v>Sell</v>
      </c>
      <c r="F361">
        <f t="shared" si="20"/>
        <v>0</v>
      </c>
      <c r="G361">
        <f t="shared" si="19"/>
        <v>0</v>
      </c>
      <c r="H361" s="12" cm="1">
        <f t="array" ref="H361">PRODUCT(1+G$2:G361)-1</f>
        <v>3.0742413002363467E-2</v>
      </c>
      <c r="I361">
        <f>H361-MAX(H$2:H361)</f>
        <v>-2.6869651762078117E-2</v>
      </c>
      <c r="L361" s="2">
        <f t="shared" si="21"/>
        <v>0.34549226441824926</v>
      </c>
    </row>
    <row r="362" spans="1:12" x14ac:dyDescent="0.25">
      <c r="A362" s="1">
        <v>44434</v>
      </c>
      <c r="B362">
        <v>448.60998535156199</v>
      </c>
      <c r="C362">
        <v>442.75149841308502</v>
      </c>
      <c r="D362">
        <v>435.44099914550702</v>
      </c>
      <c r="E362" t="str">
        <f t="shared" si="18"/>
        <v>Sell</v>
      </c>
      <c r="F362">
        <f t="shared" si="20"/>
        <v>0</v>
      </c>
      <c r="G362">
        <f t="shared" si="19"/>
        <v>0</v>
      </c>
      <c r="H362" s="12" cm="1">
        <f t="array" ref="H362">PRODUCT(1+G$2:G362)-1</f>
        <v>3.0742413002363467E-2</v>
      </c>
      <c r="I362">
        <f>H362-MAX(H$2:H362)</f>
        <v>-2.6869651762078117E-2</v>
      </c>
      <c r="L362" s="2">
        <f t="shared" si="21"/>
        <v>0.34681314444666567</v>
      </c>
    </row>
    <row r="363" spans="1:12" x14ac:dyDescent="0.25">
      <c r="A363" s="1">
        <v>44435</v>
      </c>
      <c r="B363">
        <v>447.11999511718699</v>
      </c>
      <c r="C363">
        <v>443.21199798583899</v>
      </c>
      <c r="D363">
        <v>435.94999877929598</v>
      </c>
      <c r="E363" t="str">
        <f t="shared" si="18"/>
        <v>Sell</v>
      </c>
      <c r="F363">
        <f t="shared" si="20"/>
        <v>0</v>
      </c>
      <c r="G363">
        <f t="shared" si="19"/>
        <v>0</v>
      </c>
      <c r="H363" s="12" cm="1">
        <f t="array" ref="H363">PRODUCT(1+G$2:G363)-1</f>
        <v>3.0742413002363467E-2</v>
      </c>
      <c r="I363">
        <f>H363-MAX(H$2:H363)</f>
        <v>-2.6869651762078117E-2</v>
      </c>
      <c r="L363" s="2">
        <f t="shared" si="21"/>
        <v>0.34233990823195948</v>
      </c>
    </row>
    <row r="364" spans="1:12" x14ac:dyDescent="0.25">
      <c r="A364" s="1">
        <v>44438</v>
      </c>
      <c r="B364">
        <v>450.97000122070301</v>
      </c>
      <c r="C364">
        <v>443.74349822997999</v>
      </c>
      <c r="D364">
        <v>436.62759887695302</v>
      </c>
      <c r="E364" t="str">
        <f t="shared" si="18"/>
        <v>Sell</v>
      </c>
      <c r="F364">
        <f t="shared" si="20"/>
        <v>0</v>
      </c>
      <c r="G364">
        <f t="shared" si="19"/>
        <v>0</v>
      </c>
      <c r="H364" s="12" cm="1">
        <f t="array" ref="H364">PRODUCT(1+G$2:G364)-1</f>
        <v>3.0742413002363467E-2</v>
      </c>
      <c r="I364">
        <f>H364-MAX(H$2:H364)</f>
        <v>-2.6869651762078117E-2</v>
      </c>
      <c r="L364" s="2">
        <f t="shared" si="21"/>
        <v>0.35389836434245325</v>
      </c>
    </row>
    <row r="365" spans="1:12" x14ac:dyDescent="0.25">
      <c r="A365" s="1">
        <v>44439</v>
      </c>
      <c r="B365">
        <v>452.13000488281199</v>
      </c>
      <c r="C365">
        <v>444.42799835205</v>
      </c>
      <c r="D365">
        <v>437.33419921874997</v>
      </c>
      <c r="E365" t="str">
        <f t="shared" si="18"/>
        <v>Sell</v>
      </c>
      <c r="F365">
        <f t="shared" si="20"/>
        <v>0</v>
      </c>
      <c r="G365">
        <f t="shared" si="19"/>
        <v>0</v>
      </c>
      <c r="H365" s="12" cm="1">
        <f t="array" ref="H365">PRODUCT(1+G$2:G365)-1</f>
        <v>3.0742413002363467E-2</v>
      </c>
      <c r="I365">
        <f>H365-MAX(H$2:H365)</f>
        <v>-2.6869651762078117E-2</v>
      </c>
      <c r="L365" s="2">
        <f t="shared" si="21"/>
        <v>0.35738091763094126</v>
      </c>
    </row>
    <row r="366" spans="1:12" x14ac:dyDescent="0.25">
      <c r="A366" s="1">
        <v>44440</v>
      </c>
      <c r="B366">
        <v>452.55999755859301</v>
      </c>
      <c r="C366">
        <v>445.06699829101501</v>
      </c>
      <c r="D366">
        <v>437.96839904785099</v>
      </c>
      <c r="E366" t="str">
        <f t="shared" si="18"/>
        <v>Sell</v>
      </c>
      <c r="F366">
        <f t="shared" si="20"/>
        <v>0</v>
      </c>
      <c r="G366">
        <f t="shared" si="19"/>
        <v>0</v>
      </c>
      <c r="H366" s="12" cm="1">
        <f t="array" ref="H366">PRODUCT(1+G$2:G366)-1</f>
        <v>3.0742413002363467E-2</v>
      </c>
      <c r="I366">
        <f>H366-MAX(H$2:H366)</f>
        <v>-2.6869651762078117E-2</v>
      </c>
      <c r="L366" s="2">
        <f t="shared" si="21"/>
        <v>0.35867183804436858</v>
      </c>
    </row>
    <row r="367" spans="1:12" x14ac:dyDescent="0.25">
      <c r="A367" s="1">
        <v>44441</v>
      </c>
      <c r="B367">
        <v>453.32000732421801</v>
      </c>
      <c r="C367">
        <v>445.72199859619099</v>
      </c>
      <c r="D367">
        <v>438.57099914550702</v>
      </c>
      <c r="E367" t="str">
        <f t="shared" si="18"/>
        <v>Sell</v>
      </c>
      <c r="F367">
        <f t="shared" si="20"/>
        <v>0</v>
      </c>
      <c r="G367">
        <f t="shared" si="19"/>
        <v>0</v>
      </c>
      <c r="H367" s="12" cm="1">
        <f t="array" ref="H367">PRODUCT(1+G$2:G367)-1</f>
        <v>3.0742413002363467E-2</v>
      </c>
      <c r="I367">
        <f>H367-MAX(H$2:H367)</f>
        <v>-2.6869651762078117E-2</v>
      </c>
      <c r="L367" s="2">
        <f t="shared" si="21"/>
        <v>0.36095353300363131</v>
      </c>
    </row>
    <row r="368" spans="1:12" x14ac:dyDescent="0.25">
      <c r="A368" s="1">
        <v>44442</v>
      </c>
      <c r="B368">
        <v>451.98001098632801</v>
      </c>
      <c r="C368">
        <v>446.21599884033202</v>
      </c>
      <c r="D368">
        <v>439.11279907226498</v>
      </c>
      <c r="E368" t="str">
        <f t="shared" si="18"/>
        <v>Sell</v>
      </c>
      <c r="F368">
        <f t="shared" si="20"/>
        <v>0</v>
      </c>
      <c r="G368">
        <f t="shared" si="19"/>
        <v>0</v>
      </c>
      <c r="H368" s="12" cm="1">
        <f t="array" ref="H368">PRODUCT(1+G$2:G368)-1</f>
        <v>3.0742413002363467E-2</v>
      </c>
      <c r="I368">
        <f>H368-MAX(H$2:H368)</f>
        <v>-2.6869651762078117E-2</v>
      </c>
      <c r="L368" s="2">
        <f t="shared" si="21"/>
        <v>0.35693060720993475</v>
      </c>
    </row>
    <row r="369" spans="1:12" x14ac:dyDescent="0.25">
      <c r="A369" s="1">
        <v>44446</v>
      </c>
      <c r="B369">
        <v>452.70999145507801</v>
      </c>
      <c r="C369">
        <v>446.72849884033201</v>
      </c>
      <c r="D369">
        <v>439.648999023437</v>
      </c>
      <c r="E369" t="str">
        <f t="shared" si="18"/>
        <v>Sell</v>
      </c>
      <c r="F369">
        <f t="shared" si="20"/>
        <v>0</v>
      </c>
      <c r="G369">
        <f t="shared" si="19"/>
        <v>0</v>
      </c>
      <c r="H369" s="12" cm="1">
        <f t="array" ref="H369">PRODUCT(1+G$2:G369)-1</f>
        <v>3.0742413002363467E-2</v>
      </c>
      <c r="I369">
        <f>H369-MAX(H$2:H369)</f>
        <v>-2.6869651762078117E-2</v>
      </c>
      <c r="L369" s="2">
        <f t="shared" si="21"/>
        <v>0.35912214846537821</v>
      </c>
    </row>
    <row r="370" spans="1:12" x14ac:dyDescent="0.25">
      <c r="A370" s="1">
        <v>44447</v>
      </c>
      <c r="B370">
        <v>450.89001464843699</v>
      </c>
      <c r="C370">
        <v>447.14250030517502</v>
      </c>
      <c r="D370">
        <v>440.12339904785102</v>
      </c>
      <c r="E370" t="str">
        <f t="shared" si="18"/>
        <v>Sell</v>
      </c>
      <c r="F370">
        <f t="shared" si="20"/>
        <v>0</v>
      </c>
      <c r="G370">
        <f t="shared" si="19"/>
        <v>0</v>
      </c>
      <c r="H370" s="12" cm="1">
        <f t="array" ref="H370">PRODUCT(1+G$2:G370)-1</f>
        <v>3.0742413002363467E-2</v>
      </c>
      <c r="I370">
        <f>H370-MAX(H$2:H370)</f>
        <v>-2.6869651762078117E-2</v>
      </c>
      <c r="L370" s="2">
        <f t="shared" si="21"/>
        <v>0.35365822932445384</v>
      </c>
    </row>
    <row r="371" spans="1:12" x14ac:dyDescent="0.25">
      <c r="A371" s="1">
        <v>44448</v>
      </c>
      <c r="B371">
        <v>450.70001220703102</v>
      </c>
      <c r="C371">
        <v>447.48650054931602</v>
      </c>
      <c r="D371">
        <v>440.57979919433501</v>
      </c>
      <c r="E371" t="str">
        <f t="shared" si="18"/>
        <v>Sell</v>
      </c>
      <c r="F371">
        <f t="shared" si="20"/>
        <v>0</v>
      </c>
      <c r="G371">
        <f t="shared" si="19"/>
        <v>0</v>
      </c>
      <c r="H371" s="12" cm="1">
        <f t="array" ref="H371">PRODUCT(1+G$2:G371)-1</f>
        <v>3.0742413002363467E-2</v>
      </c>
      <c r="I371">
        <f>H371-MAX(H$2:H371)</f>
        <v>-2.6869651762078117E-2</v>
      </c>
      <c r="L371" s="2">
        <f t="shared" si="21"/>
        <v>0.35308780558463898</v>
      </c>
    </row>
    <row r="372" spans="1:12" x14ac:dyDescent="0.25">
      <c r="A372" s="1">
        <v>44449</v>
      </c>
      <c r="B372">
        <v>451.04000854492102</v>
      </c>
      <c r="C372">
        <v>447.857501220703</v>
      </c>
      <c r="D372">
        <v>441.05639953613201</v>
      </c>
      <c r="E372" t="str">
        <f t="shared" si="18"/>
        <v>Sell</v>
      </c>
      <c r="F372">
        <f t="shared" si="20"/>
        <v>0</v>
      </c>
      <c r="G372">
        <f t="shared" si="19"/>
        <v>0</v>
      </c>
      <c r="H372" s="12" cm="1">
        <f t="array" ref="H372">PRODUCT(1+G$2:G372)-1</f>
        <v>3.0742413002363467E-2</v>
      </c>
      <c r="I372">
        <f>H372-MAX(H$2:H372)</f>
        <v>-2.6869651762078117E-2</v>
      </c>
      <c r="L372" s="2">
        <f t="shared" si="21"/>
        <v>0.35410853974546053</v>
      </c>
    </row>
    <row r="373" spans="1:12" x14ac:dyDescent="0.25">
      <c r="A373" s="1">
        <v>44452</v>
      </c>
      <c r="B373">
        <v>448.64001464843699</v>
      </c>
      <c r="C373">
        <v>448.01000213623001</v>
      </c>
      <c r="D373">
        <v>441.45179992675702</v>
      </c>
      <c r="E373" t="str">
        <f t="shared" si="18"/>
        <v>Sell</v>
      </c>
      <c r="F373">
        <f t="shared" si="20"/>
        <v>0</v>
      </c>
      <c r="G373">
        <f t="shared" si="19"/>
        <v>0</v>
      </c>
      <c r="H373" s="12" cm="1">
        <f t="array" ref="H373">PRODUCT(1+G$2:G373)-1</f>
        <v>3.0742413002363467E-2</v>
      </c>
      <c r="I373">
        <f>H373-MAX(H$2:H373)</f>
        <v>-2.6869651762078117E-2</v>
      </c>
      <c r="L373" s="2">
        <f t="shared" si="21"/>
        <v>0.34690329815048493</v>
      </c>
    </row>
    <row r="374" spans="1:12" x14ac:dyDescent="0.25">
      <c r="A374" s="1">
        <v>44453</v>
      </c>
      <c r="B374">
        <v>448.11999511718699</v>
      </c>
      <c r="C374">
        <v>448.18950195312402</v>
      </c>
      <c r="D374">
        <v>441.78079956054597</v>
      </c>
      <c r="E374" t="str">
        <f t="shared" si="18"/>
        <v>Sell</v>
      </c>
      <c r="F374">
        <f t="shared" si="20"/>
        <v>0</v>
      </c>
      <c r="G374">
        <f t="shared" si="19"/>
        <v>0</v>
      </c>
      <c r="H374" s="12" cm="1">
        <f t="array" ref="H374">PRODUCT(1+G$2:G374)-1</f>
        <v>3.0742413002363467E-2</v>
      </c>
      <c r="I374">
        <f>H374-MAX(H$2:H374)</f>
        <v>-2.6869651762078117E-2</v>
      </c>
      <c r="L374" s="2">
        <f t="shared" si="21"/>
        <v>0.34534209986483455</v>
      </c>
    </row>
    <row r="375" spans="1:12" x14ac:dyDescent="0.25">
      <c r="A375" s="1">
        <v>44454</v>
      </c>
      <c r="B375">
        <v>444.61999511718699</v>
      </c>
      <c r="C375">
        <v>448.20850219726498</v>
      </c>
      <c r="D375">
        <v>441.997599487304</v>
      </c>
      <c r="E375" t="str">
        <f t="shared" si="18"/>
        <v>Sell</v>
      </c>
      <c r="F375">
        <f t="shared" si="20"/>
        <v>0</v>
      </c>
      <c r="G375">
        <f t="shared" si="19"/>
        <v>0</v>
      </c>
      <c r="H375" s="12" cm="1">
        <f t="array" ref="H375">PRODUCT(1+G$2:G375)-1</f>
        <v>3.0742413002363467E-2</v>
      </c>
      <c r="I375">
        <f>H375-MAX(H$2:H375)</f>
        <v>-2.6869651762078117E-2</v>
      </c>
      <c r="L375" s="2">
        <f t="shared" si="21"/>
        <v>0.33483442914977185</v>
      </c>
    </row>
    <row r="376" spans="1:12" x14ac:dyDescent="0.25">
      <c r="A376" s="1">
        <v>44455</v>
      </c>
      <c r="B376">
        <v>447.32000732421801</v>
      </c>
      <c r="C376">
        <v>448.42650299072199</v>
      </c>
      <c r="D376">
        <v>442.27079956054598</v>
      </c>
      <c r="E376" t="str">
        <f t="shared" si="18"/>
        <v>Sell</v>
      </c>
      <c r="F376">
        <f t="shared" si="20"/>
        <v>0</v>
      </c>
      <c r="G376">
        <f t="shared" si="19"/>
        <v>0</v>
      </c>
      <c r="H376" s="12" cm="1">
        <f t="array" ref="H376">PRODUCT(1+G$2:G376)-1</f>
        <v>3.0742413002363467E-2</v>
      </c>
      <c r="I376">
        <f>H376-MAX(H$2:H376)</f>
        <v>-2.6869651762078117E-2</v>
      </c>
      <c r="L376" s="2">
        <f t="shared" si="21"/>
        <v>0.34294038320638093</v>
      </c>
    </row>
    <row r="377" spans="1:12" x14ac:dyDescent="0.25">
      <c r="A377" s="1">
        <v>44456</v>
      </c>
      <c r="B377">
        <v>444.92001342773398</v>
      </c>
      <c r="C377">
        <v>448.85900421142497</v>
      </c>
      <c r="D377">
        <v>442.593599853515</v>
      </c>
      <c r="E377" t="str">
        <f t="shared" si="18"/>
        <v>Hold</v>
      </c>
      <c r="F377">
        <f t="shared" si="20"/>
        <v>0</v>
      </c>
      <c r="G377">
        <f t="shared" si="19"/>
        <v>0</v>
      </c>
      <c r="H377" s="12" cm="1">
        <f t="array" ref="H377">PRODUCT(1+G$2:G377)-1</f>
        <v>3.0742413002363467E-2</v>
      </c>
      <c r="I377">
        <f>H377-MAX(H$2:H377)</f>
        <v>-2.6869651762078117E-2</v>
      </c>
      <c r="L377" s="2">
        <f t="shared" si="21"/>
        <v>0.33573514161140533</v>
      </c>
    </row>
    <row r="378" spans="1:12" x14ac:dyDescent="0.25">
      <c r="A378" s="1">
        <v>44459</v>
      </c>
      <c r="B378">
        <v>434.88000488281199</v>
      </c>
      <c r="C378">
        <v>448.59150390625001</v>
      </c>
      <c r="D378">
        <v>442.64059997558502</v>
      </c>
      <c r="E378" t="str">
        <f t="shared" si="18"/>
        <v>Hold</v>
      </c>
      <c r="F378">
        <f t="shared" si="20"/>
        <v>0</v>
      </c>
      <c r="G378">
        <f t="shared" si="19"/>
        <v>0</v>
      </c>
      <c r="H378" s="12" cm="1">
        <f t="array" ref="H378">PRODUCT(1+G$2:G378)-1</f>
        <v>3.0742413002363467E-2</v>
      </c>
      <c r="I378">
        <f>H378-MAX(H$2:H378)</f>
        <v>-2.6869651762078117E-2</v>
      </c>
      <c r="L378" s="2">
        <f t="shared" si="21"/>
        <v>0.30559311196384636</v>
      </c>
    </row>
    <row r="379" spans="1:12" x14ac:dyDescent="0.25">
      <c r="A379" s="1">
        <v>44460</v>
      </c>
      <c r="B379">
        <v>436.52999877929602</v>
      </c>
      <c r="C379">
        <v>448.16000366210898</v>
      </c>
      <c r="D379">
        <v>442.66260009765602</v>
      </c>
      <c r="E379" t="str">
        <f t="shared" si="18"/>
        <v>Hold</v>
      </c>
      <c r="F379">
        <f t="shared" si="20"/>
        <v>0</v>
      </c>
      <c r="G379">
        <f t="shared" si="19"/>
        <v>0</v>
      </c>
      <c r="H379" s="12" cm="1">
        <f t="array" ref="H379">PRODUCT(1+G$2:G379)-1</f>
        <v>3.0742413002363467E-2</v>
      </c>
      <c r="I379">
        <f>H379-MAX(H$2:H379)</f>
        <v>-2.6869651762078117E-2</v>
      </c>
      <c r="L379" s="2">
        <f t="shared" si="21"/>
        <v>0.31054670983416566</v>
      </c>
    </row>
    <row r="380" spans="1:12" x14ac:dyDescent="0.25">
      <c r="A380" s="1">
        <v>44461</v>
      </c>
      <c r="B380">
        <v>436.04998779296801</v>
      </c>
      <c r="C380">
        <v>447.56400299072197</v>
      </c>
      <c r="D380">
        <v>442.65880004882803</v>
      </c>
      <c r="E380" t="str">
        <f t="shared" si="18"/>
        <v>Hold</v>
      </c>
      <c r="F380">
        <f t="shared" si="20"/>
        <v>0</v>
      </c>
      <c r="G380">
        <f t="shared" si="19"/>
        <v>0</v>
      </c>
      <c r="H380" s="12" cm="1">
        <f t="array" ref="H380">PRODUCT(1+G$2:G380)-1</f>
        <v>3.0742413002363467E-2</v>
      </c>
      <c r="I380">
        <f>H380-MAX(H$2:H380)</f>
        <v>-2.6869651762078117E-2</v>
      </c>
      <c r="L380" s="2">
        <f t="shared" si="21"/>
        <v>0.30910562486732357</v>
      </c>
    </row>
    <row r="381" spans="1:12" x14ac:dyDescent="0.25">
      <c r="A381" s="1">
        <v>44462</v>
      </c>
      <c r="B381">
        <v>439.850006103515</v>
      </c>
      <c r="C381">
        <v>447.14800262451098</v>
      </c>
      <c r="D381">
        <v>442.70780029296799</v>
      </c>
      <c r="E381" t="str">
        <f t="shared" si="18"/>
        <v>Hold</v>
      </c>
      <c r="F381">
        <f t="shared" si="20"/>
        <v>0</v>
      </c>
      <c r="G381">
        <f t="shared" si="19"/>
        <v>0</v>
      </c>
      <c r="H381" s="12" cm="1">
        <f t="array" ref="H381">PRODUCT(1+G$2:G381)-1</f>
        <v>3.0742413002363467E-2</v>
      </c>
      <c r="I381">
        <f>H381-MAX(H$2:H381)</f>
        <v>-2.6869651762078117E-2</v>
      </c>
      <c r="L381" s="2">
        <f t="shared" si="21"/>
        <v>0.3205140080440198</v>
      </c>
    </row>
    <row r="382" spans="1:12" x14ac:dyDescent="0.25">
      <c r="A382" s="1">
        <v>44463</v>
      </c>
      <c r="B382">
        <v>441.44000244140602</v>
      </c>
      <c r="C382">
        <v>446.78950347900297</v>
      </c>
      <c r="D382">
        <v>442.84040039062398</v>
      </c>
      <c r="E382" t="str">
        <f t="shared" si="18"/>
        <v>Hold</v>
      </c>
      <c r="F382">
        <f t="shared" si="20"/>
        <v>0</v>
      </c>
      <c r="G382">
        <f t="shared" si="19"/>
        <v>0</v>
      </c>
      <c r="H382" s="12" cm="1">
        <f t="array" ref="H382">PRODUCT(1+G$2:G382)-1</f>
        <v>3.0742413002363467E-2</v>
      </c>
      <c r="I382">
        <f>H382-MAX(H$2:H382)</f>
        <v>-2.6869651762078117E-2</v>
      </c>
      <c r="L382" s="2">
        <f t="shared" si="21"/>
        <v>0.32528748174593825</v>
      </c>
    </row>
    <row r="383" spans="1:12" x14ac:dyDescent="0.25">
      <c r="A383" s="1">
        <v>44466</v>
      </c>
      <c r="B383">
        <v>442.80999755859301</v>
      </c>
      <c r="C383">
        <v>446.57400360107403</v>
      </c>
      <c r="D383">
        <v>442.97640014648402</v>
      </c>
      <c r="E383" t="str">
        <f t="shared" si="18"/>
        <v>Hold</v>
      </c>
      <c r="F383">
        <f t="shared" si="20"/>
        <v>0</v>
      </c>
      <c r="G383">
        <f t="shared" si="19"/>
        <v>0</v>
      </c>
      <c r="H383" s="12" cm="1">
        <f t="array" ref="H383">PRODUCT(1+G$2:G383)-1</f>
        <v>3.0742413002363467E-2</v>
      </c>
      <c r="I383">
        <f>H383-MAX(H$2:H383)</f>
        <v>-2.6869651762078117E-2</v>
      </c>
      <c r="L383" s="2">
        <f t="shared" si="21"/>
        <v>0.32940046962383668</v>
      </c>
    </row>
    <row r="384" spans="1:12" x14ac:dyDescent="0.25">
      <c r="A384" s="1">
        <v>44467</v>
      </c>
      <c r="B384">
        <v>439.69000244140602</v>
      </c>
      <c r="C384">
        <v>446.010003662109</v>
      </c>
      <c r="D384">
        <v>443.24640014648401</v>
      </c>
      <c r="E384" t="str">
        <f t="shared" si="18"/>
        <v>Hold</v>
      </c>
      <c r="F384">
        <f t="shared" si="20"/>
        <v>0</v>
      </c>
      <c r="G384">
        <f t="shared" si="19"/>
        <v>0</v>
      </c>
      <c r="H384" s="12" cm="1">
        <f t="array" ref="H384">PRODUCT(1+G$2:G384)-1</f>
        <v>3.0742413002363467E-2</v>
      </c>
      <c r="I384">
        <f>H384-MAX(H$2:H384)</f>
        <v>-2.6869651762078117E-2</v>
      </c>
      <c r="L384" s="2">
        <f t="shared" si="21"/>
        <v>0.32003364638840687</v>
      </c>
    </row>
    <row r="385" spans="1:12" x14ac:dyDescent="0.25">
      <c r="A385" s="1">
        <v>44468</v>
      </c>
      <c r="B385">
        <v>435.19000244140602</v>
      </c>
      <c r="C385">
        <v>445.16300354003903</v>
      </c>
      <c r="D385">
        <v>443.43660034179601</v>
      </c>
      <c r="E385" t="str">
        <f t="shared" si="18"/>
        <v>Hold</v>
      </c>
      <c r="F385">
        <f t="shared" si="20"/>
        <v>0</v>
      </c>
      <c r="G385">
        <f t="shared" si="19"/>
        <v>0</v>
      </c>
      <c r="H385" s="12" cm="1">
        <f t="array" ref="H385">PRODUCT(1+G$2:G385)-1</f>
        <v>3.0742413002363467E-2</v>
      </c>
      <c r="I385">
        <f>H385-MAX(H$2:H385)</f>
        <v>-2.6869651762078117E-2</v>
      </c>
      <c r="L385" s="2">
        <f t="shared" si="21"/>
        <v>0.30652378404046904</v>
      </c>
    </row>
    <row r="386" spans="1:12" x14ac:dyDescent="0.25">
      <c r="A386" s="1">
        <v>44469</v>
      </c>
      <c r="B386">
        <v>436.01998901367102</v>
      </c>
      <c r="C386">
        <v>444.33600311279201</v>
      </c>
      <c r="D386">
        <v>443.510200195312</v>
      </c>
      <c r="E386" t="str">
        <f t="shared" si="18"/>
        <v>Buy</v>
      </c>
      <c r="F386">
        <f t="shared" si="20"/>
        <v>1</v>
      </c>
      <c r="G386">
        <f t="shared" si="19"/>
        <v>-1.1559052691010886E-2</v>
      </c>
      <c r="H386" s="12" cm="1">
        <f t="array" ref="H386">PRODUCT(1+G$2:G386)-1</f>
        <v>1.8828007139609415E-2</v>
      </c>
      <c r="I386">
        <f>H386-MAX(H$2:H386)</f>
        <v>-3.8784057624832169E-2</v>
      </c>
      <c r="L386" s="2">
        <f t="shared" si="21"/>
        <v>0.3090155627831217</v>
      </c>
    </row>
    <row r="387" spans="1:12" x14ac:dyDescent="0.25">
      <c r="A387" s="1">
        <v>44470</v>
      </c>
      <c r="B387">
        <v>430.98001098632801</v>
      </c>
      <c r="C387">
        <v>443.21900329589801</v>
      </c>
      <c r="D387">
        <v>443.43500061035098</v>
      </c>
      <c r="E387" t="str">
        <f t="shared" ref="E387:E450" si="22">IF(OR(ISBLANK(C387),ISBLANK(D387),ISBLANK(C388),ISBLANK(D388)), "Hold", IF(AND(C387&gt;C388,C388&lt;=D388), "Buy", IF(AND(C387&lt;C388,C388&gt;=D388), "Sell", "Hold")))</f>
        <v>Buy</v>
      </c>
      <c r="F387">
        <f t="shared" si="20"/>
        <v>1</v>
      </c>
      <c r="G387">
        <f t="shared" ref="G387:G450" si="23">IF(F387=1,(B388-B387)/B387,0)</f>
        <v>4.6869668248629487E-3</v>
      </c>
      <c r="H387" s="12" cm="1">
        <f t="array" ref="H387">PRODUCT(1+G$2:G387)-1</f>
        <v>2.3603220209314157E-2</v>
      </c>
      <c r="I387">
        <f>H387-MAX(H$2:H387)</f>
        <v>-3.4008844555127427E-2</v>
      </c>
      <c r="L387" s="2">
        <f t="shared" si="21"/>
        <v>0.29388458291955832</v>
      </c>
    </row>
    <row r="388" spans="1:12" x14ac:dyDescent="0.25">
      <c r="A388" s="1">
        <v>44473</v>
      </c>
      <c r="B388">
        <v>433</v>
      </c>
      <c r="C388">
        <v>442.27000274658201</v>
      </c>
      <c r="D388">
        <v>443.34460083007798</v>
      </c>
      <c r="E388" t="str">
        <f t="shared" si="22"/>
        <v>Buy</v>
      </c>
      <c r="F388">
        <f t="shared" ref="F388:F451" si="24">IF(E388="Buy",1, IF(E388="Sell",0,F387))</f>
        <v>1</v>
      </c>
      <c r="G388">
        <f t="shared" si="23"/>
        <v>-6.3741565025981521E-3</v>
      </c>
      <c r="H388" s="12" cm="1">
        <f t="array" ref="H388">PRODUCT(1+G$2:G388)-1</f>
        <v>1.707861308713654E-2</v>
      </c>
      <c r="I388">
        <f>H388-MAX(H$2:H388)</f>
        <v>-4.0533451677305044E-2</v>
      </c>
      <c r="L388" s="2">
        <f t="shared" si="21"/>
        <v>0.29994897703490392</v>
      </c>
    </row>
    <row r="389" spans="1:12" x14ac:dyDescent="0.25">
      <c r="A389" s="1">
        <v>44474</v>
      </c>
      <c r="B389">
        <v>430.239990234375</v>
      </c>
      <c r="C389">
        <v>441.14650268554601</v>
      </c>
      <c r="D389">
        <v>443.163200683593</v>
      </c>
      <c r="E389" t="str">
        <f t="shared" si="22"/>
        <v>Buy</v>
      </c>
      <c r="F389">
        <f t="shared" si="24"/>
        <v>1</v>
      </c>
      <c r="G389">
        <f t="shared" si="23"/>
        <v>-2.2545584853131983E-3</v>
      </c>
      <c r="H389" s="12" cm="1">
        <f t="array" ref="H389">PRODUCT(1+G$2:G389)-1</f>
        <v>1.4785549869770431E-2</v>
      </c>
      <c r="I389">
        <f>H389-MAX(H$2:H389)</f>
        <v>-4.2826514894671153E-2</v>
      </c>
      <c r="L389" s="2">
        <f t="shared" si="21"/>
        <v>0.2916628988098911</v>
      </c>
    </row>
    <row r="390" spans="1:12" x14ac:dyDescent="0.25">
      <c r="A390" s="1">
        <v>44475</v>
      </c>
      <c r="B390">
        <v>429.26998901367102</v>
      </c>
      <c r="C390">
        <v>440.06550140380801</v>
      </c>
      <c r="D390">
        <v>442.950400390624</v>
      </c>
      <c r="E390" t="str">
        <f t="shared" si="22"/>
        <v>Buy</v>
      </c>
      <c r="F390">
        <f t="shared" si="24"/>
        <v>1</v>
      </c>
      <c r="G390">
        <f t="shared" si="23"/>
        <v>2.124543030767408E-2</v>
      </c>
      <c r="H390" s="12" cm="1">
        <f t="array" ref="H390">PRODUCT(1+G$2:G390)-1</f>
        <v>3.6345105546763401E-2</v>
      </c>
      <c r="I390">
        <f>H390-MAX(H$2:H390)</f>
        <v>-2.1266959217678183E-2</v>
      </c>
      <c r="L390" s="2">
        <f t="shared" si="21"/>
        <v>0.28875076926121501</v>
      </c>
    </row>
    <row r="391" spans="1:12" x14ac:dyDescent="0.25">
      <c r="A391" s="1">
        <v>44476</v>
      </c>
      <c r="B391">
        <v>438.39001464843699</v>
      </c>
      <c r="C391">
        <v>439.45000152587801</v>
      </c>
      <c r="D391">
        <v>442.92460083007802</v>
      </c>
      <c r="E391" t="str">
        <f t="shared" si="22"/>
        <v>Buy</v>
      </c>
      <c r="F391">
        <f t="shared" si="24"/>
        <v>1</v>
      </c>
      <c r="G391">
        <f t="shared" si="23"/>
        <v>2.4863621466495668E-3</v>
      </c>
      <c r="H391" s="12" cm="1">
        <f t="array" ref="H391">PRODUCT(1+G$2:G391)-1</f>
        <v>3.8921834788060439E-2</v>
      </c>
      <c r="I391">
        <f>H391-MAX(H$2:H391)</f>
        <v>-1.8690229976381145E-2</v>
      </c>
      <c r="L391" s="2">
        <f t="shared" ref="L391:L454" si="25">(B391-B$134)/B$134</f>
        <v>0.31613083391351549</v>
      </c>
    </row>
    <row r="392" spans="1:12" x14ac:dyDescent="0.25">
      <c r="A392" s="1">
        <v>44477</v>
      </c>
      <c r="B392">
        <v>439.48001098632801</v>
      </c>
      <c r="C392">
        <v>438.87200164794899</v>
      </c>
      <c r="D392">
        <v>442.91780090332003</v>
      </c>
      <c r="E392" t="str">
        <f t="shared" si="22"/>
        <v>Buy</v>
      </c>
      <c r="F392">
        <f t="shared" si="24"/>
        <v>1</v>
      </c>
      <c r="G392">
        <f t="shared" si="23"/>
        <v>-5.2789825844689175E-3</v>
      </c>
      <c r="H392" s="12" cm="1">
        <f t="array" ref="H392">PRODUCT(1+G$2:G392)-1</f>
        <v>3.3437384515589752E-2</v>
      </c>
      <c r="I392">
        <f>H392-MAX(H$2:H392)</f>
        <v>-2.4174680248851832E-2</v>
      </c>
      <c r="L392" s="2">
        <f t="shared" si="25"/>
        <v>0.31940321179899639</v>
      </c>
    </row>
    <row r="393" spans="1:12" x14ac:dyDescent="0.25">
      <c r="A393" s="1">
        <v>44480</v>
      </c>
      <c r="B393">
        <v>437.16000366210898</v>
      </c>
      <c r="C393">
        <v>438.29800109863203</v>
      </c>
      <c r="D393">
        <v>442.90280090331999</v>
      </c>
      <c r="E393" t="str">
        <f t="shared" si="22"/>
        <v>Buy</v>
      </c>
      <c r="F393">
        <f t="shared" si="24"/>
        <v>1</v>
      </c>
      <c r="G393">
        <f t="shared" si="23"/>
        <v>-3.4083407033884275E-3</v>
      </c>
      <c r="H393" s="12" cm="1">
        <f t="array" ref="H393">PRODUCT(1+G$2:G393)-1</f>
        <v>2.9915077813541968E-2</v>
      </c>
      <c r="I393">
        <f>H393-MAX(H$2:H393)</f>
        <v>-2.7696986950899616E-2</v>
      </c>
      <c r="L393" s="2">
        <f t="shared" si="25"/>
        <v>0.31243810522201715</v>
      </c>
    </row>
    <row r="394" spans="1:12" x14ac:dyDescent="0.25">
      <c r="A394" s="1">
        <v>44481</v>
      </c>
      <c r="B394">
        <v>435.67001342773398</v>
      </c>
      <c r="C394">
        <v>437.67550201415997</v>
      </c>
      <c r="D394">
        <v>442.80940124511699</v>
      </c>
      <c r="E394" t="str">
        <f t="shared" si="22"/>
        <v>Buy</v>
      </c>
      <c r="F394">
        <f t="shared" si="24"/>
        <v>1</v>
      </c>
      <c r="G394">
        <f t="shared" si="23"/>
        <v>-2.2035530173462529E-3</v>
      </c>
      <c r="H394" s="12" cm="1">
        <f t="array" ref="H394">PRODUCT(1+G$2:G394)-1</f>
        <v>2.7645605336215517E-2</v>
      </c>
      <c r="I394">
        <f>H394-MAX(H$2:H394)</f>
        <v>-2.9966459428226067E-2</v>
      </c>
      <c r="L394" s="2">
        <f t="shared" si="25"/>
        <v>0.30796486900731096</v>
      </c>
    </row>
    <row r="395" spans="1:12" x14ac:dyDescent="0.25">
      <c r="A395" s="1">
        <v>44482</v>
      </c>
      <c r="B395">
        <v>434.70999145507801</v>
      </c>
      <c r="C395">
        <v>437.18000183105403</v>
      </c>
      <c r="D395">
        <v>442.73480102539003</v>
      </c>
      <c r="E395" t="str">
        <f t="shared" si="22"/>
        <v>Buy</v>
      </c>
      <c r="F395">
        <f t="shared" si="24"/>
        <v>1</v>
      </c>
      <c r="G395">
        <f t="shared" si="23"/>
        <v>1.0052667762614733E-2</v>
      </c>
      <c r="H395" s="12" cm="1">
        <f t="array" ref="H395">PRODUCT(1+G$2:G395)-1</f>
        <v>3.7976185184371625E-2</v>
      </c>
      <c r="I395">
        <f>H395-MAX(H$2:H395)</f>
        <v>-1.9635879580069959E-2</v>
      </c>
      <c r="L395" s="2">
        <f t="shared" si="25"/>
        <v>0.30508269907362701</v>
      </c>
    </row>
    <row r="396" spans="1:12" x14ac:dyDescent="0.25">
      <c r="A396" s="1">
        <v>44483</v>
      </c>
      <c r="B396">
        <v>439.079986572265</v>
      </c>
      <c r="C396">
        <v>436.76800079345702</v>
      </c>
      <c r="D396">
        <v>442.72080078124901</v>
      </c>
      <c r="E396" t="str">
        <f t="shared" si="22"/>
        <v>Buy</v>
      </c>
      <c r="F396">
        <f t="shared" si="24"/>
        <v>1</v>
      </c>
      <c r="G396">
        <f t="shared" si="23"/>
        <v>1.2913395283621778E-2</v>
      </c>
      <c r="H396" s="12" cm="1">
        <f t="array" ref="H396">PRODUCT(1+G$2:G396)-1</f>
        <v>5.1379981958643128E-2</v>
      </c>
      <c r="I396">
        <f>H396-MAX(H$2:H396)</f>
        <v>-6.2320828057984556E-3</v>
      </c>
      <c r="L396" s="2">
        <f t="shared" si="25"/>
        <v>0.31820226185015066</v>
      </c>
    </row>
    <row r="397" spans="1:12" x14ac:dyDescent="0.25">
      <c r="A397" s="1">
        <v>44484</v>
      </c>
      <c r="B397">
        <v>444.75</v>
      </c>
      <c r="C397">
        <v>436.75950012206999</v>
      </c>
      <c r="D397">
        <v>442.81140075683498</v>
      </c>
      <c r="E397" t="str">
        <f t="shared" si="22"/>
        <v>Hold</v>
      </c>
      <c r="F397">
        <f t="shared" si="24"/>
        <v>1</v>
      </c>
      <c r="G397">
        <f t="shared" si="23"/>
        <v>-1.7537915217470234E-3</v>
      </c>
      <c r="H397" s="12" cm="1">
        <f t="array" ref="H397">PRODUCT(1+G$2:G397)-1</f>
        <v>4.9536080660149473E-2</v>
      </c>
      <c r="I397">
        <f>H397-MAX(H$2:H397)</f>
        <v>-8.075984104292111E-3</v>
      </c>
      <c r="L397" s="2">
        <f t="shared" si="25"/>
        <v>0.33522472872118597</v>
      </c>
    </row>
    <row r="398" spans="1:12" x14ac:dyDescent="0.25">
      <c r="A398" s="1">
        <v>44487</v>
      </c>
      <c r="B398">
        <v>443.97000122070301</v>
      </c>
      <c r="C398">
        <v>437.21399993896398</v>
      </c>
      <c r="D398">
        <v>442.84880065917901</v>
      </c>
      <c r="E398" t="str">
        <f t="shared" si="22"/>
        <v>Hold</v>
      </c>
      <c r="F398">
        <f t="shared" si="24"/>
        <v>1</v>
      </c>
      <c r="G398">
        <f t="shared" si="23"/>
        <v>1.1149429451135942E-2</v>
      </c>
      <c r="H398" s="12" cm="1">
        <f t="array" ref="H398">PRODUCT(1+G$2:G398)-1</f>
        <v>6.1237809147891342E-2</v>
      </c>
      <c r="I398">
        <f>H398-MAX(H$2:H398)</f>
        <v>0</v>
      </c>
      <c r="L398" s="2">
        <f t="shared" si="25"/>
        <v>0.3328830229123278</v>
      </c>
    </row>
    <row r="399" spans="1:12" x14ac:dyDescent="0.25">
      <c r="A399" s="1">
        <v>44488</v>
      </c>
      <c r="B399">
        <v>448.92001342773398</v>
      </c>
      <c r="C399">
        <v>437.83350067138599</v>
      </c>
      <c r="D399">
        <v>442.97800109863198</v>
      </c>
      <c r="E399" t="str">
        <f t="shared" si="22"/>
        <v>Hold</v>
      </c>
      <c r="F399">
        <f t="shared" si="24"/>
        <v>1</v>
      </c>
      <c r="G399">
        <f t="shared" si="23"/>
        <v>4.9229069521841895E-3</v>
      </c>
      <c r="H399" s="12" cm="1">
        <f t="array" ref="H399">PRODUCT(1+G$2:G399)-1</f>
        <v>6.6462184136466096E-2</v>
      </c>
      <c r="I399">
        <f>H399-MAX(H$2:H399)</f>
        <v>0</v>
      </c>
      <c r="L399" s="2">
        <f t="shared" si="25"/>
        <v>0.34774390814290557</v>
      </c>
    </row>
    <row r="400" spans="1:12" x14ac:dyDescent="0.25">
      <c r="A400" s="1">
        <v>44489</v>
      </c>
      <c r="B400">
        <v>451.13000488281199</v>
      </c>
      <c r="C400">
        <v>438.587501525878</v>
      </c>
      <c r="D400">
        <v>443.14840148925703</v>
      </c>
      <c r="E400" t="str">
        <f t="shared" si="22"/>
        <v>Hold</v>
      </c>
      <c r="F400">
        <f t="shared" si="24"/>
        <v>1</v>
      </c>
      <c r="G400">
        <f t="shared" si="23"/>
        <v>1.4186246180306267E-3</v>
      </c>
      <c r="H400" s="12" cm="1">
        <f t="array" ref="H400">PRODUCT(1+G$2:G400)-1</f>
        <v>6.7975093645080698E-2</v>
      </c>
      <c r="I400">
        <f>H400-MAX(H$2:H400)</f>
        <v>0</v>
      </c>
      <c r="L400" s="2">
        <f t="shared" si="25"/>
        <v>0.35437872599806619</v>
      </c>
    </row>
    <row r="401" spans="1:12" x14ac:dyDescent="0.25">
      <c r="A401" s="1">
        <v>44490</v>
      </c>
      <c r="B401">
        <v>451.76998901367102</v>
      </c>
      <c r="C401">
        <v>439.18350067138601</v>
      </c>
      <c r="D401">
        <v>443.30740112304602</v>
      </c>
      <c r="E401" t="str">
        <f t="shared" si="22"/>
        <v>Hold</v>
      </c>
      <c r="F401">
        <f t="shared" si="24"/>
        <v>1</v>
      </c>
      <c r="G401">
        <f t="shared" si="23"/>
        <v>3.0104165885614207E-3</v>
      </c>
      <c r="H401" s="12" cm="1">
        <f t="array" ref="H401">PRODUCT(1+G$2:G401)-1</f>
        <v>7.1190143583160337E-2</v>
      </c>
      <c r="I401">
        <f>H401-MAX(H$2:H401)</f>
        <v>0</v>
      </c>
      <c r="L401" s="2">
        <f t="shared" si="25"/>
        <v>0.35630008100090399</v>
      </c>
    </row>
    <row r="402" spans="1:12" x14ac:dyDescent="0.25">
      <c r="A402" s="1">
        <v>44491</v>
      </c>
      <c r="B402">
        <v>453.13000488281199</v>
      </c>
      <c r="C402">
        <v>439.76800079345702</v>
      </c>
      <c r="D402">
        <v>443.49760131835899</v>
      </c>
      <c r="E402" t="str">
        <f t="shared" si="22"/>
        <v>Hold</v>
      </c>
      <c r="F402">
        <f t="shared" si="24"/>
        <v>1</v>
      </c>
      <c r="G402">
        <f t="shared" si="23"/>
        <v>2.5378895330081799E-3</v>
      </c>
      <c r="H402" s="12" cm="1">
        <f t="array" ref="H402">PRODUCT(1+G$2:G402)-1</f>
        <v>7.3908705836421618E-2</v>
      </c>
      <c r="I402">
        <f>H402-MAX(H$2:H402)</f>
        <v>0</v>
      </c>
      <c r="L402" s="2">
        <f t="shared" si="25"/>
        <v>0.36038310926381634</v>
      </c>
    </row>
    <row r="403" spans="1:12" x14ac:dyDescent="0.25">
      <c r="A403" s="1">
        <v>44494</v>
      </c>
      <c r="B403">
        <v>454.27999877929602</v>
      </c>
      <c r="C403">
        <v>440.34150085449198</v>
      </c>
      <c r="D403">
        <v>443.671401367187</v>
      </c>
      <c r="E403" t="str">
        <f t="shared" si="22"/>
        <v>Hold</v>
      </c>
      <c r="F403">
        <f t="shared" si="24"/>
        <v>1</v>
      </c>
      <c r="G403">
        <f t="shared" si="23"/>
        <v>6.4277833837752506E-3</v>
      </c>
      <c r="H403" s="12" cm="1">
        <f t="array" ref="H403">PRODUCT(1+G$2:G403)-1</f>
        <v>8.0811558371488346E-2</v>
      </c>
      <c r="I403">
        <f>H403-MAX(H$2:H403)</f>
        <v>0</v>
      </c>
      <c r="L403" s="2">
        <f t="shared" si="25"/>
        <v>0.36383561131769809</v>
      </c>
    </row>
    <row r="404" spans="1:12" x14ac:dyDescent="0.25">
      <c r="A404" s="1">
        <v>44495</v>
      </c>
      <c r="B404">
        <v>457.20001220703102</v>
      </c>
      <c r="C404">
        <v>441.21700134277302</v>
      </c>
      <c r="D404">
        <v>443.92480163574203</v>
      </c>
      <c r="E404" t="str">
        <f t="shared" si="22"/>
        <v>Hold</v>
      </c>
      <c r="F404">
        <f t="shared" si="24"/>
        <v>1</v>
      </c>
      <c r="G404">
        <f t="shared" si="23"/>
        <v>-1.6404199037081001E-3</v>
      </c>
      <c r="H404" s="12" cm="1">
        <f t="array" ref="H404">PRODUCT(1+G$2:G404)-1</f>
        <v>7.9038573578978033E-2</v>
      </c>
      <c r="I404">
        <f>H404-MAX(H$2:H404)</f>
        <v>-1.7729847925103126E-3</v>
      </c>
      <c r="L404" s="2">
        <f t="shared" si="25"/>
        <v>0.37260205119832696</v>
      </c>
    </row>
    <row r="405" spans="1:12" x14ac:dyDescent="0.25">
      <c r="A405" s="1">
        <v>44496</v>
      </c>
      <c r="B405">
        <v>456.45001220703102</v>
      </c>
      <c r="C405">
        <v>442.28000183105399</v>
      </c>
      <c r="D405">
        <v>444.16900207519501</v>
      </c>
      <c r="E405" t="str">
        <f t="shared" si="22"/>
        <v>Hold</v>
      </c>
      <c r="F405">
        <f t="shared" si="24"/>
        <v>1</v>
      </c>
      <c r="G405">
        <f t="shared" si="23"/>
        <v>-2.1689576634384439E-3</v>
      </c>
      <c r="H405" s="12" cm="1">
        <f t="array" ref="H405">PRODUCT(1+G$2:G405)-1</f>
        <v>7.669818459566824E-2</v>
      </c>
      <c r="I405">
        <f>H405-MAX(H$2:H405)</f>
        <v>-4.1133737758201061E-3</v>
      </c>
      <c r="L405" s="2">
        <f t="shared" si="25"/>
        <v>0.37035040747367065</v>
      </c>
    </row>
    <row r="406" spans="1:12" x14ac:dyDescent="0.25">
      <c r="A406" s="1">
        <v>44497</v>
      </c>
      <c r="B406">
        <v>455.45999145507801</v>
      </c>
      <c r="C406">
        <v>443.25200195312499</v>
      </c>
      <c r="D406">
        <v>444.41900207519501</v>
      </c>
      <c r="E406" t="str">
        <f t="shared" si="22"/>
        <v>Hold</v>
      </c>
      <c r="F406">
        <f t="shared" si="24"/>
        <v>1</v>
      </c>
      <c r="G406">
        <f t="shared" si="23"/>
        <v>9.0019687744497695E-4</v>
      </c>
      <c r="H406" s="12" cm="1">
        <f t="array" ref="H406">PRODUCT(1+G$2:G406)-1</f>
        <v>7.7667424939391827E-2</v>
      </c>
      <c r="I406">
        <f>H406-MAX(H$2:H406)</f>
        <v>-3.1441334320965186E-3</v>
      </c>
      <c r="L406" s="2">
        <f t="shared" si="25"/>
        <v>0.36737817545578461</v>
      </c>
    </row>
    <row r="407" spans="1:12" x14ac:dyDescent="0.25">
      <c r="A407" s="1">
        <v>44498</v>
      </c>
      <c r="B407">
        <v>455.86999511718699</v>
      </c>
      <c r="C407">
        <v>444.49650115966699</v>
      </c>
      <c r="D407">
        <v>444.811002197265</v>
      </c>
      <c r="E407" t="str">
        <f t="shared" si="22"/>
        <v>Sell</v>
      </c>
      <c r="F407">
        <f t="shared" si="24"/>
        <v>0</v>
      </c>
      <c r="G407">
        <f t="shared" si="23"/>
        <v>0</v>
      </c>
      <c r="H407" s="12" cm="1">
        <f t="array" ref="H407">PRODUCT(1+G$2:G407)-1</f>
        <v>7.7667424939391827E-2</v>
      </c>
      <c r="I407">
        <f>H407-MAX(H$2:H407)</f>
        <v>-3.1441334320965186E-3</v>
      </c>
      <c r="L407" s="2">
        <f t="shared" si="25"/>
        <v>0.36860908501961631</v>
      </c>
    </row>
    <row r="408" spans="1:12" x14ac:dyDescent="0.25">
      <c r="A408" s="1">
        <v>44501</v>
      </c>
      <c r="B408">
        <v>460.29998779296801</v>
      </c>
      <c r="C408">
        <v>445.86150054931602</v>
      </c>
      <c r="D408">
        <v>445.212401733398</v>
      </c>
      <c r="E408" t="str">
        <f t="shared" si="22"/>
        <v>Sell</v>
      </c>
      <c r="F408">
        <f t="shared" si="24"/>
        <v>0</v>
      </c>
      <c r="G408">
        <f t="shared" si="23"/>
        <v>0</v>
      </c>
      <c r="H408" s="12" cm="1">
        <f t="array" ref="H408">PRODUCT(1+G$2:G408)-1</f>
        <v>7.7667424939391827E-2</v>
      </c>
      <c r="I408">
        <f>H408-MAX(H$2:H408)</f>
        <v>-3.1441334320965186E-3</v>
      </c>
      <c r="L408" s="2">
        <f t="shared" si="25"/>
        <v>0.38190877196454392</v>
      </c>
    </row>
    <row r="409" spans="1:12" x14ac:dyDescent="0.25">
      <c r="A409" s="1">
        <v>44502</v>
      </c>
      <c r="B409">
        <v>460.22000122070301</v>
      </c>
      <c r="C409">
        <v>447.36050109863203</v>
      </c>
      <c r="D409">
        <v>445.51360168457001</v>
      </c>
      <c r="E409" t="str">
        <f t="shared" si="22"/>
        <v>Sell</v>
      </c>
      <c r="F409">
        <f t="shared" si="24"/>
        <v>0</v>
      </c>
      <c r="G409">
        <f t="shared" si="23"/>
        <v>0</v>
      </c>
      <c r="H409" s="12" cm="1">
        <f t="array" ref="H409">PRODUCT(1+G$2:G409)-1</f>
        <v>7.7667424939391827E-2</v>
      </c>
      <c r="I409">
        <f>H409-MAX(H$2:H409)</f>
        <v>-3.1441334320965186E-3</v>
      </c>
      <c r="L409" s="2">
        <f t="shared" si="25"/>
        <v>0.38166863694654762</v>
      </c>
    </row>
    <row r="410" spans="1:12" x14ac:dyDescent="0.25">
      <c r="A410" s="1">
        <v>44503</v>
      </c>
      <c r="B410">
        <v>461.29998779296801</v>
      </c>
      <c r="C410">
        <v>448.96200103759702</v>
      </c>
      <c r="D410">
        <v>445.78020141601502</v>
      </c>
      <c r="E410" t="str">
        <f t="shared" si="22"/>
        <v>Sell</v>
      </c>
      <c r="F410">
        <f t="shared" si="24"/>
        <v>0</v>
      </c>
      <c r="G410">
        <f t="shared" si="23"/>
        <v>0</v>
      </c>
      <c r="H410" s="12" cm="1">
        <f t="array" ref="H410">PRODUCT(1+G$2:G410)-1</f>
        <v>7.7667424939391827E-2</v>
      </c>
      <c r="I410">
        <f>H410-MAX(H$2:H410)</f>
        <v>-3.1441334320965186E-3</v>
      </c>
      <c r="L410" s="2">
        <f t="shared" si="25"/>
        <v>0.384910963597419</v>
      </c>
    </row>
    <row r="411" spans="1:12" x14ac:dyDescent="0.25">
      <c r="A411" s="1">
        <v>44504</v>
      </c>
      <c r="B411">
        <v>465.35998535156199</v>
      </c>
      <c r="C411">
        <v>450.31049957275297</v>
      </c>
      <c r="D411">
        <v>446.12400085449201</v>
      </c>
      <c r="E411" t="str">
        <f t="shared" si="22"/>
        <v>Sell</v>
      </c>
      <c r="F411">
        <f t="shared" si="24"/>
        <v>0</v>
      </c>
      <c r="G411">
        <f t="shared" si="23"/>
        <v>0</v>
      </c>
      <c r="H411" s="12" cm="1">
        <f t="array" ref="H411">PRODUCT(1+G$2:G411)-1</f>
        <v>7.7667424939391827E-2</v>
      </c>
      <c r="I411">
        <f>H411-MAX(H$2:H411)</f>
        <v>-3.1441334320965186E-3</v>
      </c>
      <c r="L411" s="2">
        <f t="shared" si="25"/>
        <v>0.39709985429732303</v>
      </c>
    </row>
    <row r="412" spans="1:12" x14ac:dyDescent="0.25">
      <c r="A412" s="1">
        <v>44505</v>
      </c>
      <c r="B412">
        <v>469.27999877929602</v>
      </c>
      <c r="C412">
        <v>451.800498962402</v>
      </c>
      <c r="D412">
        <v>446.53740112304598</v>
      </c>
      <c r="E412" t="str">
        <f t="shared" si="22"/>
        <v>Sell</v>
      </c>
      <c r="F412">
        <f t="shared" si="24"/>
        <v>0</v>
      </c>
      <c r="G412">
        <f t="shared" si="23"/>
        <v>0</v>
      </c>
      <c r="H412" s="12" cm="1">
        <f t="array" ref="H412">PRODUCT(1+G$2:G412)-1</f>
        <v>7.7667424939391827E-2</v>
      </c>
      <c r="I412">
        <f>H412-MAX(H$2:H412)</f>
        <v>-3.1441334320965186E-3</v>
      </c>
      <c r="L412" s="2">
        <f t="shared" si="25"/>
        <v>0.40886848581082408</v>
      </c>
    </row>
    <row r="413" spans="1:12" x14ac:dyDescent="0.25">
      <c r="A413" s="1">
        <v>44508</v>
      </c>
      <c r="B413">
        <v>469.70001220703102</v>
      </c>
      <c r="C413">
        <v>453.42749938964801</v>
      </c>
      <c r="D413">
        <v>446.989001464843</v>
      </c>
      <c r="E413" t="str">
        <f t="shared" si="22"/>
        <v>Sell</v>
      </c>
      <c r="F413">
        <f t="shared" si="24"/>
        <v>0</v>
      </c>
      <c r="G413">
        <f t="shared" si="23"/>
        <v>0</v>
      </c>
      <c r="H413" s="12" cm="1">
        <f t="array" ref="H413">PRODUCT(1+G$2:G413)-1</f>
        <v>7.7667424939391827E-2</v>
      </c>
      <c r="I413">
        <f>H413-MAX(H$2:H413)</f>
        <v>-3.1441334320965186E-3</v>
      </c>
      <c r="L413" s="2">
        <f t="shared" si="25"/>
        <v>0.41012944660926526</v>
      </c>
    </row>
    <row r="414" spans="1:12" x14ac:dyDescent="0.25">
      <c r="A414" s="1">
        <v>44509</v>
      </c>
      <c r="B414">
        <v>469.32000732421801</v>
      </c>
      <c r="C414">
        <v>455.10999908447201</v>
      </c>
      <c r="D414">
        <v>447.35600158691398</v>
      </c>
      <c r="E414" t="str">
        <f t="shared" si="22"/>
        <v>Sell</v>
      </c>
      <c r="F414">
        <f t="shared" si="24"/>
        <v>0</v>
      </c>
      <c r="G414">
        <f t="shared" si="23"/>
        <v>0</v>
      </c>
      <c r="H414" s="12" cm="1">
        <f t="array" ref="H414">PRODUCT(1+G$2:G414)-1</f>
        <v>7.7667424939391827E-2</v>
      </c>
      <c r="I414">
        <f>H414-MAX(H$2:H414)</f>
        <v>-3.1441334320965186E-3</v>
      </c>
      <c r="L414" s="2">
        <f t="shared" si="25"/>
        <v>0.40898859912963237</v>
      </c>
    </row>
    <row r="415" spans="1:12" x14ac:dyDescent="0.25">
      <c r="A415" s="1">
        <v>44510</v>
      </c>
      <c r="B415">
        <v>465.579986572265</v>
      </c>
      <c r="C415">
        <v>456.65349884033202</v>
      </c>
      <c r="D415">
        <v>447.62500122070298</v>
      </c>
      <c r="E415" t="str">
        <f t="shared" si="22"/>
        <v>Sell</v>
      </c>
      <c r="F415">
        <f t="shared" si="24"/>
        <v>0</v>
      </c>
      <c r="G415">
        <f t="shared" si="23"/>
        <v>0</v>
      </c>
      <c r="H415" s="12" cm="1">
        <f t="array" ref="H415">PRODUCT(1+G$2:G415)-1</f>
        <v>7.7667424939391827E-2</v>
      </c>
      <c r="I415">
        <f>H415-MAX(H$2:H415)</f>
        <v>-3.1441334320965186E-3</v>
      </c>
      <c r="L415" s="2">
        <f t="shared" si="25"/>
        <v>0.39776034012133993</v>
      </c>
    </row>
    <row r="416" spans="1:12" x14ac:dyDescent="0.25">
      <c r="A416" s="1">
        <v>44511</v>
      </c>
      <c r="B416">
        <v>465.20999145507801</v>
      </c>
      <c r="C416">
        <v>457.95999908447197</v>
      </c>
      <c r="D416">
        <v>447.87800109863201</v>
      </c>
      <c r="E416" t="str">
        <f t="shared" si="22"/>
        <v>Sell</v>
      </c>
      <c r="F416">
        <f t="shared" si="24"/>
        <v>0</v>
      </c>
      <c r="G416">
        <f t="shared" si="23"/>
        <v>0</v>
      </c>
      <c r="H416" s="12" cm="1">
        <f t="array" ref="H416">PRODUCT(1+G$2:G416)-1</f>
        <v>7.7667424939391827E-2</v>
      </c>
      <c r="I416">
        <f>H416-MAX(H$2:H416)</f>
        <v>-3.1441334320965186E-3</v>
      </c>
      <c r="L416" s="2">
        <f t="shared" si="25"/>
        <v>0.39664954387631651</v>
      </c>
    </row>
    <row r="417" spans="1:12" x14ac:dyDescent="0.25">
      <c r="A417" s="1">
        <v>44512</v>
      </c>
      <c r="B417">
        <v>465.11999511718699</v>
      </c>
      <c r="C417">
        <v>458.97849884033201</v>
      </c>
      <c r="D417">
        <v>448.11400085449202</v>
      </c>
      <c r="E417" t="str">
        <f t="shared" si="22"/>
        <v>Sell</v>
      </c>
      <c r="F417">
        <f t="shared" si="24"/>
        <v>0</v>
      </c>
      <c r="G417">
        <f t="shared" si="23"/>
        <v>0</v>
      </c>
      <c r="H417" s="12" cm="1">
        <f t="array" ref="H417">PRODUCT(1+G$2:G417)-1</f>
        <v>7.7667424939391827E-2</v>
      </c>
      <c r="I417">
        <f>H417-MAX(H$2:H417)</f>
        <v>-3.1441334320965186E-3</v>
      </c>
      <c r="L417" s="2">
        <f t="shared" si="25"/>
        <v>0.39637935762371068</v>
      </c>
    </row>
    <row r="418" spans="1:12" x14ac:dyDescent="0.25">
      <c r="A418" s="1">
        <v>44515</v>
      </c>
      <c r="B418">
        <v>468.64001464843699</v>
      </c>
      <c r="C418">
        <v>460.21199951171798</v>
      </c>
      <c r="D418">
        <v>448.447200927734</v>
      </c>
      <c r="E418" t="str">
        <f t="shared" si="22"/>
        <v>Sell</v>
      </c>
      <c r="F418">
        <f t="shared" si="24"/>
        <v>0</v>
      </c>
      <c r="G418">
        <f t="shared" si="23"/>
        <v>0</v>
      </c>
      <c r="H418" s="12" cm="1">
        <f t="array" ref="H418">PRODUCT(1+G$2:G418)-1</f>
        <v>7.7667424939391827E-2</v>
      </c>
      <c r="I418">
        <f>H418-MAX(H$2:H418)</f>
        <v>-3.1441334320965186E-3</v>
      </c>
      <c r="L418" s="2">
        <f t="shared" si="25"/>
        <v>0.40694713080798628</v>
      </c>
    </row>
    <row r="419" spans="1:12" x14ac:dyDescent="0.25">
      <c r="A419" s="1">
        <v>44516</v>
      </c>
      <c r="B419">
        <v>467.14999389648398</v>
      </c>
      <c r="C419">
        <v>461.12349853515599</v>
      </c>
      <c r="D419">
        <v>448.73600097656202</v>
      </c>
      <c r="E419" t="str">
        <f t="shared" si="22"/>
        <v>Sell</v>
      </c>
      <c r="F419">
        <f t="shared" si="24"/>
        <v>0</v>
      </c>
      <c r="G419">
        <f t="shared" si="23"/>
        <v>0</v>
      </c>
      <c r="H419" s="12" cm="1">
        <f t="array" ref="H419">PRODUCT(1+G$2:G419)-1</f>
        <v>7.7667424939391827E-2</v>
      </c>
      <c r="I419">
        <f>H419-MAX(H$2:H419)</f>
        <v>-3.1441334320965186E-3</v>
      </c>
      <c r="L419" s="2">
        <f t="shared" si="25"/>
        <v>0.4024738029736627</v>
      </c>
    </row>
    <row r="420" spans="1:12" x14ac:dyDescent="0.25">
      <c r="A420" s="1">
        <v>44517</v>
      </c>
      <c r="B420">
        <v>469</v>
      </c>
      <c r="C420">
        <v>462.016998291015</v>
      </c>
      <c r="D420">
        <v>449.09820068359301</v>
      </c>
      <c r="E420" t="str">
        <f t="shared" si="22"/>
        <v>Sell</v>
      </c>
      <c r="F420">
        <f t="shared" si="24"/>
        <v>0</v>
      </c>
      <c r="G420">
        <f t="shared" si="23"/>
        <v>0</v>
      </c>
      <c r="H420" s="12" cm="1">
        <f t="array" ref="H420">PRODUCT(1+G$2:G420)-1</f>
        <v>7.7667424939391827E-2</v>
      </c>
      <c r="I420">
        <f>H420-MAX(H$2:H420)</f>
        <v>-3.1441334320965186E-3</v>
      </c>
      <c r="L420" s="2">
        <f t="shared" si="25"/>
        <v>0.40802787581840633</v>
      </c>
    </row>
    <row r="421" spans="1:12" x14ac:dyDescent="0.25">
      <c r="A421" s="1">
        <v>44518</v>
      </c>
      <c r="B421">
        <v>469.239990234375</v>
      </c>
      <c r="C421">
        <v>462.89049835204997</v>
      </c>
      <c r="D421">
        <v>449.46900024413998</v>
      </c>
      <c r="E421" t="str">
        <f t="shared" si="22"/>
        <v>Sell</v>
      </c>
      <c r="F421">
        <f t="shared" si="24"/>
        <v>0</v>
      </c>
      <c r="G421">
        <f t="shared" si="23"/>
        <v>0</v>
      </c>
      <c r="H421" s="12" cm="1">
        <f t="array" ref="H421">PRODUCT(1+G$2:G421)-1</f>
        <v>7.7667424939391827E-2</v>
      </c>
      <c r="I421">
        <f>H421-MAX(H$2:H421)</f>
        <v>-3.1441334320965186E-3</v>
      </c>
      <c r="L421" s="2">
        <f t="shared" si="25"/>
        <v>0.40874837249201867</v>
      </c>
    </row>
    <row r="422" spans="1:12" x14ac:dyDescent="0.25">
      <c r="A422" s="1">
        <v>44519</v>
      </c>
      <c r="B422">
        <v>469.60998535156199</v>
      </c>
      <c r="C422">
        <v>463.71449737548801</v>
      </c>
      <c r="D422">
        <v>449.840399780273</v>
      </c>
      <c r="E422" t="str">
        <f t="shared" si="22"/>
        <v>Sell</v>
      </c>
      <c r="F422">
        <f t="shared" si="24"/>
        <v>0</v>
      </c>
      <c r="G422">
        <f t="shared" si="23"/>
        <v>0</v>
      </c>
      <c r="H422" s="12" cm="1">
        <f t="array" ref="H422">PRODUCT(1+G$2:G422)-1</f>
        <v>7.7667424939391827E-2</v>
      </c>
      <c r="I422">
        <f>H422-MAX(H$2:H422)</f>
        <v>-3.1441334320965186E-3</v>
      </c>
      <c r="L422" s="2">
        <f t="shared" si="25"/>
        <v>0.40985916873704209</v>
      </c>
    </row>
    <row r="423" spans="1:12" x14ac:dyDescent="0.25">
      <c r="A423" s="1">
        <v>44522</v>
      </c>
      <c r="B423">
        <v>470.89001464843699</v>
      </c>
      <c r="C423">
        <v>464.54499816894503</v>
      </c>
      <c r="D423">
        <v>450.285399780273</v>
      </c>
      <c r="E423" t="str">
        <f t="shared" si="22"/>
        <v>Sell</v>
      </c>
      <c r="F423">
        <f t="shared" si="24"/>
        <v>0</v>
      </c>
      <c r="G423">
        <f t="shared" si="23"/>
        <v>0</v>
      </c>
      <c r="H423" s="12" cm="1">
        <f t="array" ref="H423">PRODUCT(1+G$2:G423)-1</f>
        <v>7.7667424939391827E-2</v>
      </c>
      <c r="I423">
        <f>H423-MAX(H$2:H423)</f>
        <v>-3.1441334320965186E-3</v>
      </c>
      <c r="L423" s="2">
        <f t="shared" si="25"/>
        <v>0.41370206198195519</v>
      </c>
    </row>
    <row r="424" spans="1:12" x14ac:dyDescent="0.25">
      <c r="A424" s="1">
        <v>44523</v>
      </c>
      <c r="B424">
        <v>467.22000122070301</v>
      </c>
      <c r="C424">
        <v>465.045997619628</v>
      </c>
      <c r="D424">
        <v>450.66739990234299</v>
      </c>
      <c r="E424" t="str">
        <f t="shared" si="22"/>
        <v>Sell</v>
      </c>
      <c r="F424">
        <f t="shared" si="24"/>
        <v>0</v>
      </c>
      <c r="G424">
        <f t="shared" si="23"/>
        <v>0</v>
      </c>
      <c r="H424" s="12" cm="1">
        <f t="array" ref="H424">PRODUCT(1+G$2:G424)-1</f>
        <v>7.7667424939391827E-2</v>
      </c>
      <c r="I424">
        <f>H424-MAX(H$2:H424)</f>
        <v>-3.1441334320965186E-3</v>
      </c>
      <c r="L424" s="2">
        <f t="shared" si="25"/>
        <v>0.40268397837667308</v>
      </c>
    </row>
    <row r="425" spans="1:12" x14ac:dyDescent="0.25">
      <c r="A425" s="1">
        <v>44524</v>
      </c>
      <c r="B425">
        <v>466.05999755859301</v>
      </c>
      <c r="C425">
        <v>465.52649688720697</v>
      </c>
      <c r="D425">
        <v>451.096199951171</v>
      </c>
      <c r="E425" t="str">
        <f t="shared" si="22"/>
        <v>Sell</v>
      </c>
      <c r="F425">
        <f t="shared" si="24"/>
        <v>0</v>
      </c>
      <c r="G425">
        <f t="shared" si="23"/>
        <v>0</v>
      </c>
      <c r="H425" s="12" cm="1">
        <f t="array" ref="H425">PRODUCT(1+G$2:G425)-1</f>
        <v>7.7667424939391827E-2</v>
      </c>
      <c r="I425">
        <f>H425-MAX(H$2:H425)</f>
        <v>-3.1441334320965186E-3</v>
      </c>
      <c r="L425" s="2">
        <f t="shared" si="25"/>
        <v>0.39920142508818202</v>
      </c>
    </row>
    <row r="426" spans="1:12" x14ac:dyDescent="0.25">
      <c r="A426" s="1">
        <v>44526</v>
      </c>
      <c r="B426">
        <v>462.33999633789</v>
      </c>
      <c r="C426">
        <v>465.87049713134701</v>
      </c>
      <c r="D426">
        <v>451.39659973144501</v>
      </c>
      <c r="E426" t="str">
        <f t="shared" si="22"/>
        <v>Sell</v>
      </c>
      <c r="F426">
        <f t="shared" si="24"/>
        <v>0</v>
      </c>
      <c r="G426">
        <f t="shared" si="23"/>
        <v>0</v>
      </c>
      <c r="H426" s="12" cm="1">
        <f t="array" ref="H426">PRODUCT(1+G$2:G426)-1</f>
        <v>7.7667424939391827E-2</v>
      </c>
      <c r="I426">
        <f>H426-MAX(H$2:H426)</f>
        <v>-3.1441334320965186E-3</v>
      </c>
      <c r="L426" s="2">
        <f t="shared" si="25"/>
        <v>0.38803326854910236</v>
      </c>
    </row>
    <row r="427" spans="1:12" x14ac:dyDescent="0.25">
      <c r="A427" s="1">
        <v>44529</v>
      </c>
      <c r="B427">
        <v>464.07000732421801</v>
      </c>
      <c r="C427">
        <v>466.28049774169898</v>
      </c>
      <c r="D427">
        <v>451.77959960937397</v>
      </c>
      <c r="E427" t="str">
        <f t="shared" si="22"/>
        <v>Sell</v>
      </c>
      <c r="F427">
        <f t="shared" si="24"/>
        <v>0</v>
      </c>
      <c r="G427">
        <f t="shared" si="23"/>
        <v>0</v>
      </c>
      <c r="H427" s="12" cm="1">
        <f t="array" ref="H427">PRODUCT(1+G$2:G427)-1</f>
        <v>7.7667424939391827E-2</v>
      </c>
      <c r="I427">
        <f>H427-MAX(H$2:H427)</f>
        <v>-3.1441334320965186E-3</v>
      </c>
      <c r="L427" s="2">
        <f t="shared" si="25"/>
        <v>0.39322709305703829</v>
      </c>
    </row>
    <row r="428" spans="1:12" x14ac:dyDescent="0.25">
      <c r="A428" s="1">
        <v>44530</v>
      </c>
      <c r="B428">
        <v>462</v>
      </c>
      <c r="C428">
        <v>466.36549835205</v>
      </c>
      <c r="D428">
        <v>452.32199951171799</v>
      </c>
      <c r="E428" t="str">
        <f t="shared" si="22"/>
        <v>Sell</v>
      </c>
      <c r="F428">
        <f t="shared" si="24"/>
        <v>0</v>
      </c>
      <c r="G428">
        <f t="shared" si="23"/>
        <v>0</v>
      </c>
      <c r="H428" s="12" cm="1">
        <f t="array" ref="H428">PRODUCT(1+G$2:G428)-1</f>
        <v>7.7667424939391827E-2</v>
      </c>
      <c r="I428">
        <f>H428-MAX(H$2:H428)</f>
        <v>-3.1441334320965186E-3</v>
      </c>
      <c r="L428" s="2">
        <f t="shared" si="25"/>
        <v>0.38701253438828087</v>
      </c>
    </row>
    <row r="429" spans="1:12" x14ac:dyDescent="0.25">
      <c r="A429" s="1">
        <v>44531</v>
      </c>
      <c r="B429">
        <v>461.64001464843699</v>
      </c>
      <c r="C429">
        <v>466.43649902343702</v>
      </c>
      <c r="D429">
        <v>452.82419982910102</v>
      </c>
      <c r="E429" t="str">
        <f t="shared" si="22"/>
        <v>Hold</v>
      </c>
      <c r="F429">
        <f t="shared" si="24"/>
        <v>0</v>
      </c>
      <c r="G429">
        <f t="shared" si="23"/>
        <v>0</v>
      </c>
      <c r="H429" s="12" cm="1">
        <f t="array" ref="H429">PRODUCT(1+G$2:G429)-1</f>
        <v>7.7667424939391827E-2</v>
      </c>
      <c r="I429">
        <f>H429-MAX(H$2:H429)</f>
        <v>-3.1441334320965186E-3</v>
      </c>
      <c r="L429" s="2">
        <f t="shared" si="25"/>
        <v>0.38593178937786082</v>
      </c>
    </row>
    <row r="430" spans="1:12" x14ac:dyDescent="0.25">
      <c r="A430" s="1">
        <v>44532</v>
      </c>
      <c r="B430">
        <v>450.73001098632801</v>
      </c>
      <c r="C430">
        <v>465.908000183105</v>
      </c>
      <c r="D430">
        <v>453.11780029296801</v>
      </c>
      <c r="E430" t="str">
        <f t="shared" si="22"/>
        <v>Hold</v>
      </c>
      <c r="F430">
        <f t="shared" si="24"/>
        <v>0</v>
      </c>
      <c r="G430">
        <f t="shared" si="23"/>
        <v>0</v>
      </c>
      <c r="H430" s="12" cm="1">
        <f t="array" ref="H430">PRODUCT(1+G$2:G430)-1</f>
        <v>7.7667424939391827E-2</v>
      </c>
      <c r="I430">
        <f>H430-MAX(H$2:H430)</f>
        <v>-3.1441334320965186E-3</v>
      </c>
      <c r="L430" s="2">
        <f t="shared" si="25"/>
        <v>0.35317786766884091</v>
      </c>
    </row>
    <row r="431" spans="1:12" x14ac:dyDescent="0.25">
      <c r="A431" s="1">
        <v>44533</v>
      </c>
      <c r="B431">
        <v>459.17001342773398</v>
      </c>
      <c r="C431">
        <v>465.59850158691398</v>
      </c>
      <c r="D431">
        <v>453.50420043945297</v>
      </c>
      <c r="E431" t="str">
        <f t="shared" si="22"/>
        <v>Hold</v>
      </c>
      <c r="F431">
        <f t="shared" si="24"/>
        <v>0</v>
      </c>
      <c r="G431">
        <f t="shared" si="23"/>
        <v>0</v>
      </c>
      <c r="H431" s="12" cm="1">
        <f t="array" ref="H431">PRODUCT(1+G$2:G431)-1</f>
        <v>7.7667424939391827E-2</v>
      </c>
      <c r="I431">
        <f>H431-MAX(H$2:H431)</f>
        <v>-3.1441334320965186E-3</v>
      </c>
      <c r="L431" s="2">
        <f t="shared" si="25"/>
        <v>0.37851637237987501</v>
      </c>
    </row>
    <row r="432" spans="1:12" x14ac:dyDescent="0.25">
      <c r="A432" s="1">
        <v>44536</v>
      </c>
      <c r="B432">
        <v>456.13000488281199</v>
      </c>
      <c r="C432">
        <v>464.94100189208899</v>
      </c>
      <c r="D432">
        <v>453.79800048828099</v>
      </c>
      <c r="E432" t="str">
        <f t="shared" si="22"/>
        <v>Hold</v>
      </c>
      <c r="F432">
        <f t="shared" si="24"/>
        <v>0</v>
      </c>
      <c r="G432">
        <f t="shared" si="23"/>
        <v>0</v>
      </c>
      <c r="H432" s="12" cm="1">
        <f t="array" ref="H432">PRODUCT(1+G$2:G432)-1</f>
        <v>7.7667424939391827E-2</v>
      </c>
      <c r="I432">
        <f>H432-MAX(H$2:H432)</f>
        <v>-3.1441334320965186E-3</v>
      </c>
      <c r="L432" s="2">
        <f t="shared" si="25"/>
        <v>0.3693896841624415</v>
      </c>
    </row>
    <row r="433" spans="1:12" x14ac:dyDescent="0.25">
      <c r="A433" s="1">
        <v>44537</v>
      </c>
      <c r="B433">
        <v>464.41000366210898</v>
      </c>
      <c r="C433">
        <v>464.676501464843</v>
      </c>
      <c r="D433">
        <v>454.230000610351</v>
      </c>
      <c r="E433" t="str">
        <f t="shared" si="22"/>
        <v>Hold</v>
      </c>
      <c r="F433">
        <f t="shared" si="24"/>
        <v>0</v>
      </c>
      <c r="G433">
        <f t="shared" si="23"/>
        <v>0</v>
      </c>
      <c r="H433" s="12" cm="1">
        <f t="array" ref="H433">PRODUCT(1+G$2:G433)-1</f>
        <v>7.7667424939391827E-2</v>
      </c>
      <c r="I433">
        <f>H433-MAX(H$2:H433)</f>
        <v>-3.1441334320965186E-3</v>
      </c>
      <c r="L433" s="2">
        <f t="shared" si="25"/>
        <v>0.39424782721786272</v>
      </c>
    </row>
    <row r="434" spans="1:12" x14ac:dyDescent="0.25">
      <c r="A434" s="1">
        <v>44538</v>
      </c>
      <c r="B434">
        <v>468.70001220703102</v>
      </c>
      <c r="C434">
        <v>464.645501708984</v>
      </c>
      <c r="D434">
        <v>454.81020080566401</v>
      </c>
      <c r="E434" t="str">
        <f t="shared" si="22"/>
        <v>Sell</v>
      </c>
      <c r="F434">
        <f t="shared" si="24"/>
        <v>0</v>
      </c>
      <c r="G434">
        <f t="shared" si="23"/>
        <v>0</v>
      </c>
      <c r="H434" s="12" cm="1">
        <f t="array" ref="H434">PRODUCT(1+G$2:G434)-1</f>
        <v>7.7667424939391827E-2</v>
      </c>
      <c r="I434">
        <f>H434-MAX(H$2:H434)</f>
        <v>-3.1441334320965186E-3</v>
      </c>
      <c r="L434" s="2">
        <f t="shared" si="25"/>
        <v>0.40712725497639018</v>
      </c>
    </row>
    <row r="435" spans="1:12" x14ac:dyDescent="0.25">
      <c r="A435" s="1">
        <v>44539</v>
      </c>
      <c r="B435">
        <v>468.14999389648398</v>
      </c>
      <c r="C435">
        <v>464.77400207519503</v>
      </c>
      <c r="D435">
        <v>455.46940063476501</v>
      </c>
      <c r="E435" t="str">
        <f t="shared" si="22"/>
        <v>Sell</v>
      </c>
      <c r="F435">
        <f t="shared" si="24"/>
        <v>0</v>
      </c>
      <c r="G435">
        <f t="shared" si="23"/>
        <v>0</v>
      </c>
      <c r="H435" s="12" cm="1">
        <f t="array" ref="H435">PRODUCT(1+G$2:G435)-1</f>
        <v>7.7667424939391827E-2</v>
      </c>
      <c r="I435">
        <f>H435-MAX(H$2:H435)</f>
        <v>-3.1441334320965186E-3</v>
      </c>
      <c r="L435" s="2">
        <f t="shared" si="25"/>
        <v>0.40547599460653777</v>
      </c>
    </row>
    <row r="436" spans="1:12" x14ac:dyDescent="0.25">
      <c r="A436" s="1">
        <v>44540</v>
      </c>
      <c r="B436">
        <v>469.23001098632801</v>
      </c>
      <c r="C436">
        <v>464.97500305175703</v>
      </c>
      <c r="D436">
        <v>456.13360107421801</v>
      </c>
      <c r="E436" t="str">
        <f t="shared" si="22"/>
        <v>Sell</v>
      </c>
      <c r="F436">
        <f t="shared" si="24"/>
        <v>0</v>
      </c>
      <c r="G436">
        <f t="shared" si="23"/>
        <v>0</v>
      </c>
      <c r="H436" s="12" cm="1">
        <f t="array" ref="H436">PRODUCT(1+G$2:G436)-1</f>
        <v>7.7667424939391827E-2</v>
      </c>
      <c r="I436">
        <f>H436-MAX(H$2:H436)</f>
        <v>-3.1441334320965186E-3</v>
      </c>
      <c r="L436" s="2">
        <f t="shared" si="25"/>
        <v>0.40871841287702965</v>
      </c>
    </row>
    <row r="437" spans="1:12" x14ac:dyDescent="0.25">
      <c r="A437" s="1">
        <v>44543</v>
      </c>
      <c r="B437">
        <v>470.19000244140602</v>
      </c>
      <c r="C437">
        <v>465.228503417968</v>
      </c>
      <c r="D437">
        <v>456.91780090332003</v>
      </c>
      <c r="E437" t="str">
        <f t="shared" si="22"/>
        <v>Hold</v>
      </c>
      <c r="F437">
        <f t="shared" si="24"/>
        <v>0</v>
      </c>
      <c r="G437">
        <f t="shared" si="23"/>
        <v>0</v>
      </c>
      <c r="H437" s="12" cm="1">
        <f t="array" ref="H437">PRODUCT(1+G$2:G437)-1</f>
        <v>7.7667424939391827E-2</v>
      </c>
      <c r="I437">
        <f>H437-MAX(H$2:H437)</f>
        <v>-3.1441334320965186E-3</v>
      </c>
      <c r="L437" s="2">
        <f t="shared" si="25"/>
        <v>0.41160049119109637</v>
      </c>
    </row>
    <row r="438" spans="1:12" x14ac:dyDescent="0.25">
      <c r="A438" s="1">
        <v>44544</v>
      </c>
      <c r="B438">
        <v>463.08999633789</v>
      </c>
      <c r="C438">
        <v>464.95100250244099</v>
      </c>
      <c r="D438">
        <v>457.51960083007799</v>
      </c>
      <c r="E438" t="str">
        <f t="shared" si="22"/>
        <v>Hold</v>
      </c>
      <c r="F438">
        <f t="shared" si="24"/>
        <v>0</v>
      </c>
      <c r="G438">
        <f t="shared" si="23"/>
        <v>0</v>
      </c>
      <c r="H438" s="12" cm="1">
        <f t="array" ref="H438">PRODUCT(1+G$2:G438)-1</f>
        <v>7.7667424939391827E-2</v>
      </c>
      <c r="I438">
        <f>H438-MAX(H$2:H438)</f>
        <v>-3.1441334320965186E-3</v>
      </c>
      <c r="L438" s="2">
        <f t="shared" si="25"/>
        <v>0.39028491227375867</v>
      </c>
    </row>
    <row r="439" spans="1:12" x14ac:dyDescent="0.25">
      <c r="A439" s="1">
        <v>44545</v>
      </c>
      <c r="B439">
        <v>463.42001342773398</v>
      </c>
      <c r="C439">
        <v>464.764503479003</v>
      </c>
      <c r="D439">
        <v>458.18320129394499</v>
      </c>
      <c r="E439" t="str">
        <f t="shared" si="22"/>
        <v>Sell</v>
      </c>
      <c r="F439">
        <f t="shared" si="24"/>
        <v>0</v>
      </c>
      <c r="G439">
        <f t="shared" si="23"/>
        <v>0</v>
      </c>
      <c r="H439" s="12" cm="1">
        <f t="array" ref="H439">PRODUCT(1+G$2:G439)-1</f>
        <v>7.7667424939391827E-2</v>
      </c>
      <c r="I439">
        <f>H439-MAX(H$2:H439)</f>
        <v>-3.1441334320965186E-3</v>
      </c>
      <c r="L439" s="2">
        <f t="shared" si="25"/>
        <v>0.39127568681959407</v>
      </c>
    </row>
    <row r="440" spans="1:12" x14ac:dyDescent="0.25">
      <c r="A440" s="1">
        <v>44546</v>
      </c>
      <c r="B440">
        <v>472.57000732421801</v>
      </c>
      <c r="C440">
        <v>464.94300384521398</v>
      </c>
      <c r="D440">
        <v>459.04920166015597</v>
      </c>
      <c r="E440" t="str">
        <f t="shared" si="22"/>
        <v>Hold</v>
      </c>
      <c r="F440">
        <f t="shared" si="24"/>
        <v>0</v>
      </c>
      <c r="G440">
        <f t="shared" si="23"/>
        <v>0</v>
      </c>
      <c r="H440" s="12" cm="1">
        <f t="array" ref="H440">PRODUCT(1+G$2:G440)-1</f>
        <v>7.7667424939391827E-2</v>
      </c>
      <c r="I440">
        <f>H440-MAX(H$2:H440)</f>
        <v>-3.1441334320965186E-3</v>
      </c>
      <c r="L440" s="2">
        <f t="shared" si="25"/>
        <v>0.41874572193647636</v>
      </c>
    </row>
    <row r="441" spans="1:12" x14ac:dyDescent="0.25">
      <c r="A441" s="1">
        <v>44547</v>
      </c>
      <c r="B441">
        <v>461.54998779296801</v>
      </c>
      <c r="C441">
        <v>464.55850372314399</v>
      </c>
      <c r="D441">
        <v>459.512401123046</v>
      </c>
      <c r="E441" t="str">
        <f t="shared" si="22"/>
        <v>Hold</v>
      </c>
      <c r="F441">
        <f t="shared" si="24"/>
        <v>0</v>
      </c>
      <c r="G441">
        <f t="shared" si="23"/>
        <v>0</v>
      </c>
      <c r="H441" s="12" cm="1">
        <f t="array" ref="H441">PRODUCT(1+G$2:G441)-1</f>
        <v>7.7667424939391827E-2</v>
      </c>
      <c r="I441">
        <f>H441-MAX(H$2:H441)</f>
        <v>-3.1441334320965186E-3</v>
      </c>
      <c r="L441" s="2">
        <f t="shared" si="25"/>
        <v>0.38566151150563777</v>
      </c>
    </row>
    <row r="442" spans="1:12" x14ac:dyDescent="0.25">
      <c r="A442" s="1">
        <v>44550</v>
      </c>
      <c r="B442">
        <v>454.48001098632801</v>
      </c>
      <c r="C442">
        <v>463.80200500488201</v>
      </c>
      <c r="D442">
        <v>459.81240112304602</v>
      </c>
      <c r="E442" t="str">
        <f t="shared" si="22"/>
        <v>Hold</v>
      </c>
      <c r="F442">
        <f t="shared" si="24"/>
        <v>0</v>
      </c>
      <c r="G442">
        <f t="shared" si="23"/>
        <v>0</v>
      </c>
      <c r="H442" s="12" cm="1">
        <f t="array" ref="H442">PRODUCT(1+G$2:G442)-1</f>
        <v>7.7667424939391827E-2</v>
      </c>
      <c r="I442">
        <f>H442-MAX(H$2:H442)</f>
        <v>-3.1441334320965186E-3</v>
      </c>
      <c r="L442" s="2">
        <f t="shared" si="25"/>
        <v>0.36443608629212237</v>
      </c>
    </row>
    <row r="443" spans="1:12" x14ac:dyDescent="0.25">
      <c r="A443" s="1">
        <v>44551</v>
      </c>
      <c r="B443">
        <v>458.60998535156199</v>
      </c>
      <c r="C443">
        <v>463.18800354003901</v>
      </c>
      <c r="D443">
        <v>460.24140075683499</v>
      </c>
      <c r="E443" t="str">
        <f t="shared" si="22"/>
        <v>Hold</v>
      </c>
      <c r="F443">
        <f t="shared" si="24"/>
        <v>0</v>
      </c>
      <c r="G443">
        <f t="shared" si="23"/>
        <v>0</v>
      </c>
      <c r="H443" s="12" cm="1">
        <f t="array" ref="H443">PRODUCT(1+G$2:G443)-1</f>
        <v>7.7667424939391827E-2</v>
      </c>
      <c r="I443">
        <f>H443-MAX(H$2:H443)</f>
        <v>-3.1441334320965186E-3</v>
      </c>
      <c r="L443" s="2">
        <f t="shared" si="25"/>
        <v>0.37683506077541634</v>
      </c>
    </row>
    <row r="444" spans="1:12" x14ac:dyDescent="0.25">
      <c r="A444" s="1">
        <v>44552</v>
      </c>
      <c r="B444">
        <v>462.79000854492102</v>
      </c>
      <c r="C444">
        <v>462.96650390625001</v>
      </c>
      <c r="D444">
        <v>460.78380065917901</v>
      </c>
      <c r="E444" t="str">
        <f t="shared" si="22"/>
        <v>Sell</v>
      </c>
      <c r="F444">
        <f t="shared" si="24"/>
        <v>0</v>
      </c>
      <c r="G444">
        <f t="shared" si="23"/>
        <v>0</v>
      </c>
      <c r="H444" s="12" cm="1">
        <f t="array" ref="H444">PRODUCT(1+G$2:G444)-1</f>
        <v>7.7667424939391827E-2</v>
      </c>
      <c r="I444">
        <f>H444-MAX(H$2:H444)</f>
        <v>-3.1441334320965186E-3</v>
      </c>
      <c r="L444" s="2">
        <f t="shared" si="25"/>
        <v>0.38938429143174258</v>
      </c>
    </row>
    <row r="445" spans="1:12" x14ac:dyDescent="0.25">
      <c r="A445" s="1">
        <v>44553</v>
      </c>
      <c r="B445">
        <v>468.75</v>
      </c>
      <c r="C445">
        <v>463.10100402832001</v>
      </c>
      <c r="D445">
        <v>461.46460083007798</v>
      </c>
      <c r="E445" t="str">
        <f t="shared" si="22"/>
        <v>Sell</v>
      </c>
      <c r="F445">
        <f t="shared" si="24"/>
        <v>0</v>
      </c>
      <c r="G445">
        <f t="shared" si="23"/>
        <v>0</v>
      </c>
      <c r="H445" s="12" cm="1">
        <f t="array" ref="H445">PRODUCT(1+G$2:G445)-1</f>
        <v>7.7667424939391827E-2</v>
      </c>
      <c r="I445">
        <f>H445-MAX(H$2:H445)</f>
        <v>-3.1441334320965186E-3</v>
      </c>
      <c r="L445" s="2">
        <f t="shared" si="25"/>
        <v>0.40727732791018756</v>
      </c>
    </row>
    <row r="446" spans="1:12" x14ac:dyDescent="0.25">
      <c r="A446" s="1">
        <v>44557</v>
      </c>
      <c r="B446">
        <v>472.05999755859301</v>
      </c>
      <c r="C446">
        <v>463.58700408935499</v>
      </c>
      <c r="D446">
        <v>462.12420104980401</v>
      </c>
      <c r="E446" t="str">
        <f t="shared" si="22"/>
        <v>Sell</v>
      </c>
      <c r="F446">
        <f t="shared" si="24"/>
        <v>0</v>
      </c>
      <c r="G446">
        <f t="shared" si="23"/>
        <v>0</v>
      </c>
      <c r="H446" s="12" cm="1">
        <f t="array" ref="H446">PRODUCT(1+G$2:G446)-1</f>
        <v>7.7667424939391827E-2</v>
      </c>
      <c r="I446">
        <f>H446-MAX(H$2:H446)</f>
        <v>-3.1441334320965186E-3</v>
      </c>
      <c r="L446" s="2">
        <f t="shared" si="25"/>
        <v>0.4172145748854324</v>
      </c>
    </row>
    <row r="447" spans="1:12" x14ac:dyDescent="0.25">
      <c r="A447" s="1">
        <v>44558</v>
      </c>
      <c r="B447">
        <v>477.72000122070301</v>
      </c>
      <c r="C447">
        <v>464.26950378417899</v>
      </c>
      <c r="D447">
        <v>462.78360107421798</v>
      </c>
      <c r="E447" t="str">
        <f t="shared" si="22"/>
        <v>Sell</v>
      </c>
      <c r="F447">
        <f t="shared" si="24"/>
        <v>0</v>
      </c>
      <c r="G447">
        <f t="shared" si="23"/>
        <v>0</v>
      </c>
      <c r="H447" s="12" cm="1">
        <f t="array" ref="H447">PRODUCT(1+G$2:G447)-1</f>
        <v>7.7667424939391827E-2</v>
      </c>
      <c r="I447">
        <f>H447-MAX(H$2:H447)</f>
        <v>-3.1441334320965186E-3</v>
      </c>
      <c r="L447" s="2">
        <f t="shared" si="25"/>
        <v>0.43420699052186129</v>
      </c>
    </row>
    <row r="448" spans="1:12" x14ac:dyDescent="0.25">
      <c r="A448" s="1">
        <v>44559</v>
      </c>
      <c r="B448">
        <v>476.98001098632801</v>
      </c>
      <c r="C448">
        <v>465.01850433349603</v>
      </c>
      <c r="D448">
        <v>463.44380126953098</v>
      </c>
      <c r="E448" t="str">
        <f t="shared" si="22"/>
        <v>Sell</v>
      </c>
      <c r="F448">
        <f t="shared" si="24"/>
        <v>0</v>
      </c>
      <c r="G448">
        <f t="shared" si="23"/>
        <v>0</v>
      </c>
      <c r="H448" s="12" cm="1">
        <f t="array" ref="H448">PRODUCT(1+G$2:G448)-1</f>
        <v>7.7667424939391827E-2</v>
      </c>
      <c r="I448">
        <f>H448-MAX(H$2:H448)</f>
        <v>-3.1441334320965186E-3</v>
      </c>
      <c r="L448" s="2">
        <f t="shared" si="25"/>
        <v>0.43198539803181141</v>
      </c>
    </row>
    <row r="449" spans="1:12" x14ac:dyDescent="0.25">
      <c r="A449" s="1">
        <v>44560</v>
      </c>
      <c r="B449">
        <v>477.92999267578102</v>
      </c>
      <c r="C449">
        <v>465.83300323486299</v>
      </c>
      <c r="D449">
        <v>464.02400085449199</v>
      </c>
      <c r="E449" t="str">
        <f t="shared" si="22"/>
        <v>Sell</v>
      </c>
      <c r="F449">
        <f t="shared" si="24"/>
        <v>0</v>
      </c>
      <c r="G449">
        <f t="shared" si="23"/>
        <v>0</v>
      </c>
      <c r="H449" s="12" cm="1">
        <f t="array" ref="H449">PRODUCT(1+G$2:G449)-1</f>
        <v>7.7667424939391827E-2</v>
      </c>
      <c r="I449">
        <f>H449-MAX(H$2:H449)</f>
        <v>-3.1441334320965186E-3</v>
      </c>
      <c r="L449" s="2">
        <f t="shared" si="25"/>
        <v>0.43483742511127177</v>
      </c>
    </row>
    <row r="450" spans="1:12" x14ac:dyDescent="0.25">
      <c r="A450" s="1">
        <v>44561</v>
      </c>
      <c r="B450">
        <v>475.64001464843699</v>
      </c>
      <c r="C450">
        <v>467.07850341796802</v>
      </c>
      <c r="D450">
        <v>464.514201049804</v>
      </c>
      <c r="E450" t="str">
        <f t="shared" si="22"/>
        <v>Sell</v>
      </c>
      <c r="F450">
        <f t="shared" si="24"/>
        <v>0</v>
      </c>
      <c r="G450">
        <f t="shared" si="23"/>
        <v>0</v>
      </c>
      <c r="H450" s="12" cm="1">
        <f t="array" ref="H450">PRODUCT(1+G$2:G450)-1</f>
        <v>7.7667424939391827E-2</v>
      </c>
      <c r="I450">
        <f>H450-MAX(H$2:H450)</f>
        <v>-3.1441334320965186E-3</v>
      </c>
      <c r="L450" s="2">
        <f t="shared" si="25"/>
        <v>0.42796247223811174</v>
      </c>
    </row>
    <row r="451" spans="1:12" x14ac:dyDescent="0.25">
      <c r="A451" s="1">
        <v>44564</v>
      </c>
      <c r="B451">
        <v>476.29998779296801</v>
      </c>
      <c r="C451">
        <v>467.93500213623003</v>
      </c>
      <c r="D451">
        <v>465.00480102539001</v>
      </c>
      <c r="E451" t="str">
        <f t="shared" ref="E451:E514" si="26">IF(OR(ISBLANK(C451),ISBLANK(D451),ISBLANK(C452),ISBLANK(D452)), "Hold", IF(AND(C451&gt;C452,C452&lt;=D452), "Buy", IF(AND(C451&lt;C452,C452&gt;=D452), "Sell", "Hold")))</f>
        <v>Sell</v>
      </c>
      <c r="F451">
        <f t="shared" si="24"/>
        <v>0</v>
      </c>
      <c r="G451">
        <f t="shared" ref="G451:G514" si="27">IF(F451=1,(B452-B451)/B451,0)</f>
        <v>0</v>
      </c>
      <c r="H451" s="12" cm="1">
        <f t="array" ref="H451">PRODUCT(1+G$2:G451)-1</f>
        <v>7.7667424939391827E-2</v>
      </c>
      <c r="I451">
        <f>H451-MAX(H$2:H451)</f>
        <v>-3.1441334320965186E-3</v>
      </c>
      <c r="L451" s="2">
        <f t="shared" si="25"/>
        <v>0.42994383809054504</v>
      </c>
    </row>
    <row r="452" spans="1:12" x14ac:dyDescent="0.25">
      <c r="A452" s="1">
        <v>44565</v>
      </c>
      <c r="B452">
        <v>479.22000122070301</v>
      </c>
      <c r="C452">
        <v>469.089501953124</v>
      </c>
      <c r="D452">
        <v>465.52660095214799</v>
      </c>
      <c r="E452" t="str">
        <f t="shared" si="26"/>
        <v>Sell</v>
      </c>
      <c r="F452">
        <f t="shared" ref="F452:F515" si="28">IF(E452="Buy",1, IF(E452="Sell",0,F451))</f>
        <v>0</v>
      </c>
      <c r="G452">
        <f t="shared" si="27"/>
        <v>0</v>
      </c>
      <c r="H452" s="12" cm="1">
        <f t="array" ref="H452">PRODUCT(1+G$2:G452)-1</f>
        <v>7.7667424939391827E-2</v>
      </c>
      <c r="I452">
        <f>H452-MAX(H$2:H452)</f>
        <v>-3.1441334320965186E-3</v>
      </c>
      <c r="L452" s="2">
        <f t="shared" si="25"/>
        <v>0.4387102779711739</v>
      </c>
    </row>
    <row r="453" spans="1:12" x14ac:dyDescent="0.25">
      <c r="A453" s="1">
        <v>44566</v>
      </c>
      <c r="B453">
        <v>477.16000366210898</v>
      </c>
      <c r="C453">
        <v>469.72700195312399</v>
      </c>
      <c r="D453">
        <v>465.98420104980403</v>
      </c>
      <c r="E453" t="str">
        <f t="shared" si="26"/>
        <v>Hold</v>
      </c>
      <c r="F453">
        <f t="shared" si="28"/>
        <v>0</v>
      </c>
      <c r="G453">
        <f t="shared" si="27"/>
        <v>0</v>
      </c>
      <c r="H453" s="12" cm="1">
        <f t="array" ref="H453">PRODUCT(1+G$2:G453)-1</f>
        <v>7.7667424939391827E-2</v>
      </c>
      <c r="I453">
        <f>H453-MAX(H$2:H453)</f>
        <v>-3.1441334320965186E-3</v>
      </c>
      <c r="L453" s="2">
        <f t="shared" si="25"/>
        <v>0.43252577053701979</v>
      </c>
    </row>
    <row r="454" spans="1:12" x14ac:dyDescent="0.25">
      <c r="A454" s="1">
        <v>44567</v>
      </c>
      <c r="B454">
        <v>467.89001464843699</v>
      </c>
      <c r="C454">
        <v>469.68650207519499</v>
      </c>
      <c r="D454">
        <v>466.19800109863201</v>
      </c>
      <c r="E454" t="str">
        <f t="shared" si="26"/>
        <v>Hold</v>
      </c>
      <c r="F454">
        <f t="shared" si="28"/>
        <v>0</v>
      </c>
      <c r="G454">
        <f t="shared" si="27"/>
        <v>0</v>
      </c>
      <c r="H454" s="12" cm="1">
        <f t="array" ref="H454">PRODUCT(1+G$2:G454)-1</f>
        <v>7.7667424939391827E-2</v>
      </c>
      <c r="I454">
        <f>H454-MAX(H$2:H454)</f>
        <v>-3.1441334320965186E-3</v>
      </c>
      <c r="L454" s="2">
        <f t="shared" si="25"/>
        <v>0.40469548708332997</v>
      </c>
    </row>
    <row r="455" spans="1:12" x14ac:dyDescent="0.25">
      <c r="A455" s="1">
        <v>44568</v>
      </c>
      <c r="B455">
        <v>467.95001220703102</v>
      </c>
      <c r="C455">
        <v>469.67650299072199</v>
      </c>
      <c r="D455">
        <v>466.42800109863202</v>
      </c>
      <c r="E455" t="str">
        <f t="shared" si="26"/>
        <v>Hold</v>
      </c>
      <c r="F455">
        <f t="shared" si="28"/>
        <v>0</v>
      </c>
      <c r="G455">
        <f t="shared" si="27"/>
        <v>0</v>
      </c>
      <c r="H455" s="12" cm="1">
        <f t="array" ref="H455">PRODUCT(1+G$2:G455)-1</f>
        <v>7.7667424939391827E-2</v>
      </c>
      <c r="I455">
        <f>H455-MAX(H$2:H455)</f>
        <v>-3.1441334320965186E-3</v>
      </c>
      <c r="L455" s="2">
        <f t="shared" ref="L455:L518" si="29">(B455-B$134)/B$134</f>
        <v>0.40487561125173394</v>
      </c>
    </row>
    <row r="456" spans="1:12" x14ac:dyDescent="0.25">
      <c r="A456" s="1">
        <v>44571</v>
      </c>
      <c r="B456">
        <v>462.70001220703102</v>
      </c>
      <c r="C456">
        <v>469.35000305175703</v>
      </c>
      <c r="D456">
        <v>466.57280151367098</v>
      </c>
      <c r="E456" t="str">
        <f t="shared" si="26"/>
        <v>Hold</v>
      </c>
      <c r="F456">
        <f t="shared" si="28"/>
        <v>0</v>
      </c>
      <c r="G456">
        <f t="shared" si="27"/>
        <v>0</v>
      </c>
      <c r="H456" s="12" cm="1">
        <f t="array" ref="H456">PRODUCT(1+G$2:G456)-1</f>
        <v>7.7667424939391827E-2</v>
      </c>
      <c r="I456">
        <f>H456-MAX(H$2:H456)</f>
        <v>-3.1441334320965186E-3</v>
      </c>
      <c r="L456" s="2">
        <f t="shared" si="29"/>
        <v>0.3891141051791398</v>
      </c>
    </row>
    <row r="457" spans="1:12" x14ac:dyDescent="0.25">
      <c r="A457" s="1">
        <v>44572</v>
      </c>
      <c r="B457">
        <v>465.23001098632801</v>
      </c>
      <c r="C457">
        <v>469.10200347900297</v>
      </c>
      <c r="D457">
        <v>466.76000183105401</v>
      </c>
      <c r="E457" t="str">
        <f t="shared" si="26"/>
        <v>Sell</v>
      </c>
      <c r="F457">
        <f t="shared" si="28"/>
        <v>0</v>
      </c>
      <c r="G457">
        <f t="shared" si="27"/>
        <v>0</v>
      </c>
      <c r="H457" s="12" cm="1">
        <f t="array" ref="H457">PRODUCT(1+G$2:G457)-1</f>
        <v>7.7667424939391827E-2</v>
      </c>
      <c r="I457">
        <f>H457-MAX(H$2:H457)</f>
        <v>-3.1441334320965186E-3</v>
      </c>
      <c r="L457" s="2">
        <f t="shared" si="29"/>
        <v>0.39670964634552935</v>
      </c>
    </row>
    <row r="458" spans="1:12" x14ac:dyDescent="0.25">
      <c r="A458" s="1">
        <v>44573</v>
      </c>
      <c r="B458">
        <v>471.58999633789</v>
      </c>
      <c r="C458">
        <v>469.52700347900299</v>
      </c>
      <c r="D458">
        <v>466.985802001953</v>
      </c>
      <c r="E458" t="str">
        <f t="shared" si="26"/>
        <v>Sell</v>
      </c>
      <c r="F458">
        <f t="shared" si="28"/>
        <v>0</v>
      </c>
      <c r="G458">
        <f t="shared" si="27"/>
        <v>0</v>
      </c>
      <c r="H458" s="12" cm="1">
        <f t="array" ref="H458">PRODUCT(1+G$2:G458)-1</f>
        <v>7.7667424939391827E-2</v>
      </c>
      <c r="I458">
        <f>H458-MAX(H$2:H458)</f>
        <v>-3.1441334320965186E-3</v>
      </c>
      <c r="L458" s="2">
        <f t="shared" si="29"/>
        <v>0.41580354115319673</v>
      </c>
    </row>
    <row r="459" spans="1:12" x14ac:dyDescent="0.25">
      <c r="A459" s="1">
        <v>44574</v>
      </c>
      <c r="B459">
        <v>472.19000244140602</v>
      </c>
      <c r="C459">
        <v>469.96550292968698</v>
      </c>
      <c r="D459">
        <v>467.22520202636701</v>
      </c>
      <c r="E459" t="str">
        <f t="shared" si="26"/>
        <v>Hold</v>
      </c>
      <c r="F459">
        <f t="shared" si="28"/>
        <v>0</v>
      </c>
      <c r="G459">
        <f t="shared" si="27"/>
        <v>0</v>
      </c>
      <c r="H459" s="12" cm="1">
        <f t="array" ref="H459">PRODUCT(1+G$2:G459)-1</f>
        <v>7.7667424939391827E-2</v>
      </c>
      <c r="I459">
        <f>H459-MAX(H$2:H459)</f>
        <v>-3.1441334320965186E-3</v>
      </c>
      <c r="L459" s="2">
        <f t="shared" si="29"/>
        <v>0.41760487445684652</v>
      </c>
    </row>
    <row r="460" spans="1:12" x14ac:dyDescent="0.25">
      <c r="A460" s="1">
        <v>44575</v>
      </c>
      <c r="B460">
        <v>461.19000244140602</v>
      </c>
      <c r="C460">
        <v>469.39650268554601</v>
      </c>
      <c r="D460">
        <v>467.22300231933502</v>
      </c>
      <c r="E460" t="str">
        <f t="shared" si="26"/>
        <v>Hold</v>
      </c>
      <c r="F460">
        <f t="shared" si="28"/>
        <v>0</v>
      </c>
      <c r="G460">
        <f t="shared" si="27"/>
        <v>0</v>
      </c>
      <c r="H460" s="12" cm="1">
        <f t="array" ref="H460">PRODUCT(1+G$2:G460)-1</f>
        <v>7.7667424939391827E-2</v>
      </c>
      <c r="I460">
        <f>H460-MAX(H$2:H460)</f>
        <v>-3.1441334320965186E-3</v>
      </c>
      <c r="L460" s="2">
        <f t="shared" si="29"/>
        <v>0.38458076649522077</v>
      </c>
    </row>
    <row r="461" spans="1:12" x14ac:dyDescent="0.25">
      <c r="A461" s="1">
        <v>44579</v>
      </c>
      <c r="B461">
        <v>459.739990234375</v>
      </c>
      <c r="C461">
        <v>469.30600280761701</v>
      </c>
      <c r="D461">
        <v>467.11060241699198</v>
      </c>
      <c r="E461" t="str">
        <f t="shared" si="26"/>
        <v>Sell</v>
      </c>
      <c r="F461">
        <f t="shared" si="28"/>
        <v>0</v>
      </c>
      <c r="G461">
        <f t="shared" si="27"/>
        <v>0</v>
      </c>
      <c r="H461" s="12" cm="1">
        <f t="array" ref="H461">PRODUCT(1+G$2:G461)-1</f>
        <v>7.7667424939391827E-2</v>
      </c>
      <c r="I461">
        <f>H461-MAX(H$2:H461)</f>
        <v>-3.1441334320965186E-3</v>
      </c>
      <c r="L461" s="2">
        <f t="shared" si="29"/>
        <v>0.38022755197970554</v>
      </c>
    </row>
    <row r="462" spans="1:12" x14ac:dyDescent="0.25">
      <c r="A462" s="1">
        <v>44580</v>
      </c>
      <c r="B462">
        <v>458.13000488281199</v>
      </c>
      <c r="C462">
        <v>469.48850250244101</v>
      </c>
      <c r="D462">
        <v>466.88760253906202</v>
      </c>
      <c r="E462" t="str">
        <f t="shared" si="26"/>
        <v>Hold</v>
      </c>
      <c r="F462">
        <f t="shared" si="28"/>
        <v>0</v>
      </c>
      <c r="G462">
        <f t="shared" si="27"/>
        <v>0</v>
      </c>
      <c r="H462" s="12" cm="1">
        <f t="array" ref="H462">PRODUCT(1+G$2:G462)-1</f>
        <v>7.7667424939391827E-2</v>
      </c>
      <c r="I462">
        <f>H462-MAX(H$2:H462)</f>
        <v>-3.1441334320965186E-3</v>
      </c>
      <c r="L462" s="2">
        <f t="shared" si="29"/>
        <v>0.37539406742819165</v>
      </c>
    </row>
    <row r="463" spans="1:12" x14ac:dyDescent="0.25">
      <c r="A463" s="1">
        <v>44581</v>
      </c>
      <c r="B463">
        <v>453.75</v>
      </c>
      <c r="C463">
        <v>469.24550323486301</v>
      </c>
      <c r="D463">
        <v>466.56860229492099</v>
      </c>
      <c r="E463" t="str">
        <f t="shared" si="26"/>
        <v>Hold</v>
      </c>
      <c r="F463">
        <f t="shared" si="28"/>
        <v>0</v>
      </c>
      <c r="G463">
        <f t="shared" si="27"/>
        <v>0</v>
      </c>
      <c r="H463" s="12" cm="1">
        <f t="array" ref="H463">PRODUCT(1+G$2:G463)-1</f>
        <v>7.7667424939391827E-2</v>
      </c>
      <c r="I463">
        <f>H463-MAX(H$2:H463)</f>
        <v>-3.1441334320965186E-3</v>
      </c>
      <c r="L463" s="2">
        <f t="shared" si="29"/>
        <v>0.36224445341706157</v>
      </c>
    </row>
    <row r="464" spans="1:12" x14ac:dyDescent="0.25">
      <c r="A464" s="1">
        <v>44582</v>
      </c>
      <c r="B464">
        <v>445.55999755859301</v>
      </c>
      <c r="C464">
        <v>468.38400268554602</v>
      </c>
      <c r="D464">
        <v>466.09340209960902</v>
      </c>
      <c r="E464" t="str">
        <f t="shared" si="26"/>
        <v>Hold</v>
      </c>
      <c r="F464">
        <f t="shared" si="28"/>
        <v>0</v>
      </c>
      <c r="G464">
        <f t="shared" si="27"/>
        <v>0</v>
      </c>
      <c r="H464" s="12" cm="1">
        <f t="array" ref="H464">PRODUCT(1+G$2:G464)-1</f>
        <v>7.7667424939391827E-2</v>
      </c>
      <c r="I464">
        <f>H464-MAX(H$2:H464)</f>
        <v>-3.1441334320965186E-3</v>
      </c>
      <c r="L464" s="2">
        <f t="shared" si="29"/>
        <v>0.33765649661424313</v>
      </c>
    </row>
    <row r="465" spans="1:12" x14ac:dyDescent="0.25">
      <c r="A465" s="1">
        <v>44585</v>
      </c>
      <c r="B465">
        <v>432.02999877929602</v>
      </c>
      <c r="C465">
        <v>466.54800262451101</v>
      </c>
      <c r="D465">
        <v>465.42240234374901</v>
      </c>
      <c r="E465" t="str">
        <f t="shared" si="26"/>
        <v>Buy</v>
      </c>
      <c r="F465">
        <f t="shared" si="28"/>
        <v>1</v>
      </c>
      <c r="G465">
        <f t="shared" si="27"/>
        <v>2.384090878428021E-3</v>
      </c>
      <c r="H465" s="12" cm="1">
        <f t="array" ref="H465">PRODUCT(1+G$2:G465)-1</f>
        <v>8.0236682017168937E-2</v>
      </c>
      <c r="I465">
        <f>H465-MAX(H$2:H465)</f>
        <v>-5.7487635431940909E-4</v>
      </c>
      <c r="L465" s="2">
        <f t="shared" si="29"/>
        <v>0.29703684748622783</v>
      </c>
    </row>
    <row r="466" spans="1:12" x14ac:dyDescent="0.25">
      <c r="A466" s="1">
        <v>44586</v>
      </c>
      <c r="B466">
        <v>433.05999755859301</v>
      </c>
      <c r="C466">
        <v>464.59800262451103</v>
      </c>
      <c r="D466">
        <v>464.77940246582</v>
      </c>
      <c r="E466" t="str">
        <f t="shared" si="26"/>
        <v>Buy</v>
      </c>
      <c r="F466">
        <f t="shared" si="28"/>
        <v>1</v>
      </c>
      <c r="G466">
        <f t="shared" si="27"/>
        <v>1.7688088729722957E-2</v>
      </c>
      <c r="H466" s="12" cm="1">
        <f t="array" ref="H466">PRODUCT(1+G$2:G466)-1</f>
        <v>9.9344004297790223E-2</v>
      </c>
      <c r="I466">
        <f>H466-MAX(H$2:H466)</f>
        <v>0</v>
      </c>
      <c r="L466" s="2">
        <f t="shared" si="29"/>
        <v>0.30012910120330477</v>
      </c>
    </row>
    <row r="467" spans="1:12" x14ac:dyDescent="0.25">
      <c r="A467" s="1">
        <v>44587</v>
      </c>
      <c r="B467">
        <v>440.72000122070301</v>
      </c>
      <c r="C467">
        <v>462.748002624511</v>
      </c>
      <c r="D467">
        <v>464.29140258788999</v>
      </c>
      <c r="E467" t="str">
        <f t="shared" si="26"/>
        <v>Buy</v>
      </c>
      <c r="F467">
        <f t="shared" si="28"/>
        <v>1</v>
      </c>
      <c r="G467">
        <f t="shared" si="27"/>
        <v>-5.5817558728089153E-3</v>
      </c>
      <c r="H467" s="12" cm="1">
        <f t="array" ref="H467">PRODUCT(1+G$2:G467)-1</f>
        <v>9.3207734445563739E-2</v>
      </c>
      <c r="I467">
        <f>H467-MAX(H$2:H467)</f>
        <v>-6.1362698522264836E-3</v>
      </c>
      <c r="L467" s="2">
        <f t="shared" si="29"/>
        <v>0.32312590010548381</v>
      </c>
    </row>
    <row r="468" spans="1:12" x14ac:dyDescent="0.25">
      <c r="A468" s="1">
        <v>44588</v>
      </c>
      <c r="B468">
        <v>438.260009765625</v>
      </c>
      <c r="C468">
        <v>460.81200256347603</v>
      </c>
      <c r="D468">
        <v>463.68380249023397</v>
      </c>
      <c r="E468" t="str">
        <f t="shared" si="26"/>
        <v>Buy</v>
      </c>
      <c r="F468">
        <f t="shared" si="28"/>
        <v>1</v>
      </c>
      <c r="G468">
        <f t="shared" si="27"/>
        <v>-1.2732206830434035E-2</v>
      </c>
      <c r="H468" s="12" cm="1">
        <f t="array" ref="H468">PRODUCT(1+G$2:G468)-1</f>
        <v>7.9288787461972543E-2</v>
      </c>
      <c r="I468">
        <f>H468-MAX(H$2:H468)</f>
        <v>-2.005521683581768E-2</v>
      </c>
      <c r="L468" s="2">
        <f t="shared" si="29"/>
        <v>0.31574053434210442</v>
      </c>
    </row>
    <row r="469" spans="1:12" x14ac:dyDescent="0.25">
      <c r="A469" s="1">
        <v>44589</v>
      </c>
      <c r="B469">
        <v>432.67999267578102</v>
      </c>
      <c r="C469">
        <v>458.54950256347598</v>
      </c>
      <c r="D469">
        <v>462.99440246581997</v>
      </c>
      <c r="E469" t="str">
        <f t="shared" si="26"/>
        <v>Buy</v>
      </c>
      <c r="F469">
        <f t="shared" si="28"/>
        <v>1</v>
      </c>
      <c r="G469">
        <f t="shared" si="27"/>
        <v>1.9783668539091009E-2</v>
      </c>
      <c r="H469" s="12" cm="1">
        <f t="array" ref="H469">PRODUCT(1+G$2:G469)-1</f>
        <v>0.10064107909107767</v>
      </c>
      <c r="I469">
        <f>H469-MAX(H$2:H469)</f>
        <v>0</v>
      </c>
      <c r="L469" s="2">
        <f t="shared" si="29"/>
        <v>0.29898825372367499</v>
      </c>
    </row>
    <row r="470" spans="1:12" x14ac:dyDescent="0.25">
      <c r="A470" s="1">
        <v>44592</v>
      </c>
      <c r="B470">
        <v>441.239990234375</v>
      </c>
      <c r="C470">
        <v>456.82950134277303</v>
      </c>
      <c r="D470">
        <v>462.439202270507</v>
      </c>
      <c r="E470" t="str">
        <f t="shared" si="26"/>
        <v>Buy</v>
      </c>
      <c r="F470">
        <f t="shared" si="28"/>
        <v>1</v>
      </c>
      <c r="G470">
        <f t="shared" si="27"/>
        <v>2.139425856752409E-2</v>
      </c>
      <c r="H470" s="12" cm="1">
        <f t="array" ref="H470">PRODUCT(1+G$2:G470)-1</f>
        <v>0.12418847892719098</v>
      </c>
      <c r="I470">
        <f>H470-MAX(H$2:H470)</f>
        <v>0</v>
      </c>
      <c r="L470" s="2">
        <f t="shared" si="29"/>
        <v>0.3246870067715168</v>
      </c>
    </row>
    <row r="471" spans="1:12" x14ac:dyDescent="0.25">
      <c r="A471" s="1">
        <v>44593</v>
      </c>
      <c r="B471">
        <v>450.67999267578102</v>
      </c>
      <c r="C471">
        <v>455.54850158691403</v>
      </c>
      <c r="D471">
        <v>462.06800231933499</v>
      </c>
      <c r="E471" t="str">
        <f t="shared" si="26"/>
        <v>Buy</v>
      </c>
      <c r="F471">
        <f t="shared" si="28"/>
        <v>1</v>
      </c>
      <c r="G471">
        <f t="shared" si="27"/>
        <v>1.0694966278848079E-2</v>
      </c>
      <c r="H471" s="12" cm="1">
        <f t="array" ref="H471">PRODUCT(1+G$2:G471)-1</f>
        <v>0.13621163680038673</v>
      </c>
      <c r="I471">
        <f>H471-MAX(H$2:H471)</f>
        <v>0</v>
      </c>
      <c r="L471" s="2">
        <f t="shared" si="29"/>
        <v>0.35302770311542619</v>
      </c>
    </row>
    <row r="472" spans="1:12" x14ac:dyDescent="0.25">
      <c r="A472" s="1">
        <v>44594</v>
      </c>
      <c r="B472">
        <v>455.5</v>
      </c>
      <c r="C472">
        <v>454.36250152587797</v>
      </c>
      <c r="D472">
        <v>461.785802612304</v>
      </c>
      <c r="E472" t="str">
        <f t="shared" si="26"/>
        <v>Buy</v>
      </c>
      <c r="F472">
        <f t="shared" si="28"/>
        <v>1</v>
      </c>
      <c r="G472">
        <f t="shared" si="27"/>
        <v>-9.9889962524017072E-3</v>
      </c>
      <c r="H472" s="12" cm="1">
        <f t="array" ref="H472">PRODUCT(1+G$2:G472)-1</f>
        <v>0.12486202301845251</v>
      </c>
      <c r="I472">
        <f>H472-MAX(H$2:H472)</f>
        <v>-1.134961378193422E-2</v>
      </c>
      <c r="L472" s="2">
        <f t="shared" si="29"/>
        <v>0.36749828877459295</v>
      </c>
    </row>
    <row r="473" spans="1:12" x14ac:dyDescent="0.25">
      <c r="A473" s="1">
        <v>44595</v>
      </c>
      <c r="B473">
        <v>450.95001220703102</v>
      </c>
      <c r="C473">
        <v>453.05200195312398</v>
      </c>
      <c r="D473">
        <v>461.38700256347602</v>
      </c>
      <c r="E473" t="str">
        <f t="shared" si="26"/>
        <v>Buy</v>
      </c>
      <c r="F473">
        <f t="shared" si="28"/>
        <v>1</v>
      </c>
      <c r="G473">
        <f t="shared" si="27"/>
        <v>-1.0200700696298377E-2</v>
      </c>
      <c r="H473" s="12" cm="1">
        <f t="array" ref="H473">PRODUCT(1+G$2:G473)-1</f>
        <v>0.11338764219700859</v>
      </c>
      <c r="I473">
        <f>H473-MAX(H$2:H473)</f>
        <v>-2.2823994603378139E-2</v>
      </c>
      <c r="L473" s="2">
        <f t="shared" si="29"/>
        <v>0.35383835349285775</v>
      </c>
    </row>
    <row r="474" spans="1:12" x14ac:dyDescent="0.25">
      <c r="A474" s="1">
        <v>44596</v>
      </c>
      <c r="B474">
        <v>446.350006103515</v>
      </c>
      <c r="C474">
        <v>451.97500152587799</v>
      </c>
      <c r="D474">
        <v>460.969602661132</v>
      </c>
      <c r="E474" t="str">
        <f t="shared" si="26"/>
        <v>Buy</v>
      </c>
      <c r="F474">
        <f t="shared" si="28"/>
        <v>1</v>
      </c>
      <c r="G474">
        <f t="shared" si="27"/>
        <v>7.0796541254603456E-3</v>
      </c>
      <c r="H474" s="12" cm="1">
        <f t="array" ref="H474">PRODUCT(1+G$2:G474)-1</f>
        <v>0.12127004161132526</v>
      </c>
      <c r="I474">
        <f>H474-MAX(H$2:H474)</f>
        <v>-1.4941595189061463E-2</v>
      </c>
      <c r="L474" s="2">
        <f t="shared" si="29"/>
        <v>0.34002825365770772</v>
      </c>
    </row>
    <row r="475" spans="1:12" x14ac:dyDescent="0.25">
      <c r="A475" s="1">
        <v>44599</v>
      </c>
      <c r="B475">
        <v>449.510009765625</v>
      </c>
      <c r="C475">
        <v>451.05300140380803</v>
      </c>
      <c r="D475">
        <v>460.63860290527299</v>
      </c>
      <c r="E475" t="str">
        <f t="shared" si="26"/>
        <v>Buy</v>
      </c>
      <c r="F475">
        <f t="shared" si="28"/>
        <v>1</v>
      </c>
      <c r="G475">
        <f t="shared" si="27"/>
        <v>-6.1845091742150152E-3</v>
      </c>
      <c r="H475" s="12" cm="1">
        <f t="array" ref="H475">PRODUCT(1+G$2:G475)-1</f>
        <v>0.11433553675220764</v>
      </c>
      <c r="I475">
        <f>H475-MAX(H$2:H475)</f>
        <v>-2.1876100048179081E-2</v>
      </c>
      <c r="L475" s="2">
        <f t="shared" si="29"/>
        <v>0.34951519021194893</v>
      </c>
    </row>
    <row r="476" spans="1:12" x14ac:dyDescent="0.25">
      <c r="A476" s="1">
        <v>44600</v>
      </c>
      <c r="B476">
        <v>446.73001098632801</v>
      </c>
      <c r="C476">
        <v>450.25450134277298</v>
      </c>
      <c r="D476">
        <v>460.32640319824202</v>
      </c>
      <c r="E476" t="str">
        <f t="shared" si="26"/>
        <v>Buy</v>
      </c>
      <c r="F476">
        <f t="shared" si="28"/>
        <v>1</v>
      </c>
      <c r="G476">
        <f t="shared" si="27"/>
        <v>1.900474565304016E-2</v>
      </c>
      <c r="H476" s="12" cm="1">
        <f t="array" ref="H476">PRODUCT(1+G$2:G476)-1</f>
        <v>0.13551320020032742</v>
      </c>
      <c r="I476">
        <f>H476-MAX(H$2:H476)</f>
        <v>-6.9843660005930452E-4</v>
      </c>
      <c r="L476" s="2">
        <f t="shared" si="29"/>
        <v>0.34116910113734061</v>
      </c>
    </row>
    <row r="477" spans="1:12" x14ac:dyDescent="0.25">
      <c r="A477" s="1">
        <v>44601</v>
      </c>
      <c r="B477">
        <v>455.22000122070301</v>
      </c>
      <c r="C477">
        <v>449.75400085449201</v>
      </c>
      <c r="D477">
        <v>460.14940307617098</v>
      </c>
      <c r="E477" t="str">
        <f t="shared" si="26"/>
        <v>Buy</v>
      </c>
      <c r="F477">
        <f t="shared" si="28"/>
        <v>1</v>
      </c>
      <c r="G477">
        <f t="shared" si="27"/>
        <v>-8.5233620500165148E-3</v>
      </c>
      <c r="H477" s="12" cm="1">
        <f t="array" ref="H477">PRODUCT(1+G$2:G477)-1</f>
        <v>0.12583481008244712</v>
      </c>
      <c r="I477">
        <f>H477-MAX(H$2:H477)</f>
        <v>-1.0376826717939602E-2</v>
      </c>
      <c r="L477" s="2">
        <f t="shared" si="29"/>
        <v>0.36665767878217226</v>
      </c>
    </row>
    <row r="478" spans="1:12" x14ac:dyDescent="0.25">
      <c r="A478" s="1">
        <v>44602</v>
      </c>
      <c r="B478">
        <v>451.33999633789</v>
      </c>
      <c r="C478">
        <v>448.74150085449202</v>
      </c>
      <c r="D478">
        <v>459.93620300292901</v>
      </c>
      <c r="E478" t="str">
        <f t="shared" si="26"/>
        <v>Buy</v>
      </c>
      <c r="F478">
        <f t="shared" si="28"/>
        <v>1</v>
      </c>
      <c r="G478">
        <f t="shared" si="27"/>
        <v>-4.2761392551972236E-3</v>
      </c>
      <c r="H478" s="12" cm="1">
        <f t="array" ref="H478">PRODUCT(1+G$2:G478)-1</f>
        <v>0.12102058365618618</v>
      </c>
      <c r="I478">
        <f>H478-MAX(H$2:H478)</f>
        <v>-1.519105314420055E-2</v>
      </c>
      <c r="L478" s="2">
        <f t="shared" si="29"/>
        <v>0.35500916058747667</v>
      </c>
    </row>
    <row r="479" spans="1:12" x14ac:dyDescent="0.25">
      <c r="A479" s="1">
        <v>44603</v>
      </c>
      <c r="B479">
        <v>449.41000366210898</v>
      </c>
      <c r="C479">
        <v>447.602500915527</v>
      </c>
      <c r="D479">
        <v>459.691602783203</v>
      </c>
      <c r="E479" t="str">
        <f t="shared" si="26"/>
        <v>Buy</v>
      </c>
      <c r="F479">
        <f t="shared" si="28"/>
        <v>1</v>
      </c>
      <c r="G479">
        <f t="shared" si="27"/>
        <v>-2.1116553163133621E-2</v>
      </c>
      <c r="H479" s="12" cm="1">
        <f t="array" ref="H479">PRODUCT(1+G$2:G479)-1</f>
        <v>9.7348492904443251E-2</v>
      </c>
      <c r="I479">
        <f>H479-MAX(H$2:H479)</f>
        <v>-3.8863143895943475E-2</v>
      </c>
      <c r="L479" s="2">
        <f t="shared" si="29"/>
        <v>0.34921495272473668</v>
      </c>
    </row>
    <row r="480" spans="1:12" x14ac:dyDescent="0.25">
      <c r="A480" s="1">
        <v>44606</v>
      </c>
      <c r="B480">
        <v>439.92001342773398</v>
      </c>
      <c r="C480">
        <v>446.53900146484301</v>
      </c>
      <c r="D480">
        <v>459.47540283203102</v>
      </c>
      <c r="E480" t="str">
        <f t="shared" si="26"/>
        <v>Buy</v>
      </c>
      <c r="F480">
        <f t="shared" si="28"/>
        <v>1</v>
      </c>
      <c r="G480">
        <f t="shared" si="27"/>
        <v>8.6606597615498243E-3</v>
      </c>
      <c r="H480" s="12" cm="1">
        <f t="array" ref="H480">PRODUCT(1+G$2:G480)-1</f>
        <v>0.10685225484133798</v>
      </c>
      <c r="I480">
        <f>H480-MAX(H$2:H480)</f>
        <v>-2.9359381959048747E-2</v>
      </c>
      <c r="L480" s="2">
        <f t="shared" si="29"/>
        <v>0.32072418344702996</v>
      </c>
    </row>
    <row r="481" spans="1:12" x14ac:dyDescent="0.25">
      <c r="A481" s="1">
        <v>44607</v>
      </c>
      <c r="B481">
        <v>443.73001098632801</v>
      </c>
      <c r="C481">
        <v>445.73850250244101</v>
      </c>
      <c r="D481">
        <v>459.16660278320302</v>
      </c>
      <c r="E481" t="str">
        <f t="shared" si="26"/>
        <v>Buy</v>
      </c>
      <c r="F481">
        <f t="shared" si="28"/>
        <v>1</v>
      </c>
      <c r="G481">
        <f t="shared" si="27"/>
        <v>4.5068326347476426E-4</v>
      </c>
      <c r="H481" s="12" cm="1">
        <f t="array" ref="H481">PRODUCT(1+G$2:G481)-1</f>
        <v>0.10735109462773429</v>
      </c>
      <c r="I481">
        <f>H481-MAX(H$2:H481)</f>
        <v>-2.8860542172652437E-2</v>
      </c>
      <c r="L481" s="2">
        <f t="shared" si="29"/>
        <v>0.33216252623871545</v>
      </c>
    </row>
    <row r="482" spans="1:12" x14ac:dyDescent="0.25">
      <c r="A482" s="1">
        <v>44608</v>
      </c>
      <c r="B482">
        <v>443.92999267578102</v>
      </c>
      <c r="C482">
        <v>445.02850189208903</v>
      </c>
      <c r="D482">
        <v>458.92260253906198</v>
      </c>
      <c r="E482" t="str">
        <f t="shared" si="26"/>
        <v>Buy</v>
      </c>
      <c r="F482">
        <f t="shared" si="28"/>
        <v>1</v>
      </c>
      <c r="G482">
        <f t="shared" si="27"/>
        <v>-1.5993320271030778E-3</v>
      </c>
      <c r="H482" s="12" cm="1">
        <f t="array" ref="H482">PRODUCT(1+G$2:G482)-1</f>
        <v>0.10558007255684854</v>
      </c>
      <c r="I482">
        <f>H482-MAX(H$2:H482)</f>
        <v>-3.063156424353819E-2</v>
      </c>
      <c r="L482" s="2">
        <f t="shared" si="29"/>
        <v>0.33276290959351945</v>
      </c>
    </row>
    <row r="483" spans="1:12" x14ac:dyDescent="0.25">
      <c r="A483" s="1">
        <v>44609</v>
      </c>
      <c r="B483">
        <v>443.22000122070301</v>
      </c>
      <c r="C483">
        <v>444.50200195312402</v>
      </c>
      <c r="D483">
        <v>458.49880249023403</v>
      </c>
      <c r="E483" t="str">
        <f t="shared" si="26"/>
        <v>Buy</v>
      </c>
      <c r="F483">
        <f t="shared" si="28"/>
        <v>1</v>
      </c>
      <c r="G483">
        <f t="shared" si="27"/>
        <v>-1.3289144515626355E-2</v>
      </c>
      <c r="H483" s="12" cm="1">
        <f t="array" ref="H483">PRODUCT(1+G$2:G483)-1</f>
        <v>9.0887859199043852E-2</v>
      </c>
      <c r="I483">
        <f>H483-MAX(H$2:H483)</f>
        <v>-4.5323777601342874E-2</v>
      </c>
      <c r="L483" s="2">
        <f t="shared" si="29"/>
        <v>0.33063137918767149</v>
      </c>
    </row>
    <row r="484" spans="1:12" x14ac:dyDescent="0.25">
      <c r="A484" s="1">
        <v>44610</v>
      </c>
      <c r="B484">
        <v>437.329986572265</v>
      </c>
      <c r="C484">
        <v>444.09050140380799</v>
      </c>
      <c r="D484">
        <v>457.87140197753899</v>
      </c>
      <c r="E484" t="str">
        <f t="shared" si="26"/>
        <v>Buy</v>
      </c>
      <c r="F484">
        <f t="shared" si="28"/>
        <v>1</v>
      </c>
      <c r="G484">
        <f t="shared" si="27"/>
        <v>-1.2439055383477809E-2</v>
      </c>
      <c r="H484" s="12" cm="1">
        <f t="array" ref="H484">PRODUCT(1+G$2:G484)-1</f>
        <v>7.731824470130344E-2</v>
      </c>
      <c r="I484">
        <f>H484-MAX(H$2:H484)</f>
        <v>-5.8893392099083286E-2</v>
      </c>
      <c r="L484" s="2">
        <f t="shared" si="29"/>
        <v>0.31294842649261928</v>
      </c>
    </row>
    <row r="485" spans="1:12" x14ac:dyDescent="0.25">
      <c r="A485" s="1">
        <v>44614</v>
      </c>
      <c r="B485">
        <v>431.89001464843699</v>
      </c>
      <c r="C485">
        <v>444.08350219726498</v>
      </c>
      <c r="D485">
        <v>457.146202392578</v>
      </c>
      <c r="E485" t="str">
        <f t="shared" si="26"/>
        <v>Buy</v>
      </c>
      <c r="F485">
        <f t="shared" si="28"/>
        <v>1</v>
      </c>
      <c r="G485">
        <f t="shared" si="27"/>
        <v>1.782835878478848E-3</v>
      </c>
      <c r="H485" s="12" cm="1">
        <f t="array" ref="H485">PRODUCT(1+G$2:G485)-1</f>
        <v>7.9238926320496672E-2</v>
      </c>
      <c r="I485">
        <f>H485-MAX(H$2:H485)</f>
        <v>-5.6972710479890054E-2</v>
      </c>
      <c r="L485" s="2">
        <f t="shared" si="29"/>
        <v>0.29661658829982757</v>
      </c>
    </row>
    <row r="486" spans="1:12" x14ac:dyDescent="0.25">
      <c r="A486" s="1">
        <v>44615</v>
      </c>
      <c r="B486">
        <v>432.66000366210898</v>
      </c>
      <c r="C486">
        <v>444.063502502441</v>
      </c>
      <c r="D486">
        <v>456.41480224609302</v>
      </c>
      <c r="E486" t="str">
        <f t="shared" si="26"/>
        <v>Buy</v>
      </c>
      <c r="F486">
        <f t="shared" si="28"/>
        <v>1</v>
      </c>
      <c r="G486">
        <f t="shared" si="27"/>
        <v>-5.0016212419158539E-2</v>
      </c>
      <c r="H486" s="12" cm="1">
        <f t="array" ref="H486">PRODUCT(1+G$2:G486)-1</f>
        <v>2.5259482930626076E-2</v>
      </c>
      <c r="I486">
        <f>H486-MAX(H$2:H486)</f>
        <v>-0.11095215386976065</v>
      </c>
      <c r="L486" s="2">
        <f t="shared" si="29"/>
        <v>0.29892824287407932</v>
      </c>
    </row>
    <row r="487" spans="1:12" x14ac:dyDescent="0.25">
      <c r="A487" s="1">
        <v>44616</v>
      </c>
      <c r="B487">
        <v>411.01998901367102</v>
      </c>
      <c r="C487">
        <v>442.57850189208898</v>
      </c>
      <c r="D487">
        <v>455.23140197753901</v>
      </c>
      <c r="E487" t="str">
        <f t="shared" si="26"/>
        <v>Buy</v>
      </c>
      <c r="F487">
        <f t="shared" si="28"/>
        <v>1</v>
      </c>
      <c r="G487">
        <f t="shared" si="27"/>
        <v>4.5228934929665038E-2</v>
      </c>
      <c r="H487" s="12" cm="1">
        <f t="array" ref="H487">PRODUCT(1+G$2:G487)-1</f>
        <v>7.1630877370117307E-2</v>
      </c>
      <c r="I487">
        <f>H487-MAX(H$2:H487)</f>
        <v>-6.4580759430269419E-2</v>
      </c>
      <c r="L487" s="2">
        <f t="shared" si="29"/>
        <v>0.23396077196124501</v>
      </c>
    </row>
    <row r="488" spans="1:12" x14ac:dyDescent="0.25">
      <c r="A488" s="1">
        <v>44617</v>
      </c>
      <c r="B488">
        <v>429.60998535156199</v>
      </c>
      <c r="C488">
        <v>442.14600067138599</v>
      </c>
      <c r="D488">
        <v>454.56180175781202</v>
      </c>
      <c r="E488" t="str">
        <f t="shared" si="26"/>
        <v>Buy</v>
      </c>
      <c r="F488">
        <f t="shared" si="28"/>
        <v>1</v>
      </c>
      <c r="G488">
        <f t="shared" si="27"/>
        <v>5.6330474389548199E-3</v>
      </c>
      <c r="H488" s="12" cm="1">
        <f t="array" ref="H488">PRODUCT(1+G$2:G488)-1</f>
        <v>7.7667424939391827E-2</v>
      </c>
      <c r="I488">
        <f>H488-MAX(H$2:H488)</f>
        <v>-5.8544211860994899E-2</v>
      </c>
      <c r="L488" s="2">
        <f t="shared" si="29"/>
        <v>0.28977150342203939</v>
      </c>
    </row>
    <row r="489" spans="1:12" x14ac:dyDescent="0.25">
      <c r="A489" s="1">
        <v>44620</v>
      </c>
      <c r="B489">
        <v>432.02999877929602</v>
      </c>
      <c r="C489">
        <v>442.11350097656202</v>
      </c>
      <c r="D489">
        <v>453.93400146484299</v>
      </c>
      <c r="E489" t="str">
        <f t="shared" si="26"/>
        <v>Buy</v>
      </c>
      <c r="F489">
        <f t="shared" si="28"/>
        <v>1</v>
      </c>
      <c r="G489">
        <f t="shared" si="27"/>
        <v>6.9671313893243641E-3</v>
      </c>
      <c r="H489" s="12" cm="1">
        <f t="array" ref="H489">PRODUCT(1+G$2:G489)-1</f>
        <v>8.5175675482939361E-2</v>
      </c>
      <c r="I489">
        <f>H489-MAX(H$2:H489)</f>
        <v>-5.1035961317447365E-2</v>
      </c>
      <c r="L489" s="2">
        <f t="shared" si="29"/>
        <v>0.29703684748622783</v>
      </c>
    </row>
    <row r="490" spans="1:12" x14ac:dyDescent="0.25">
      <c r="A490" s="1">
        <v>44621</v>
      </c>
      <c r="B490">
        <v>435.04000854492102</v>
      </c>
      <c r="C490">
        <v>441.803501892089</v>
      </c>
      <c r="D490">
        <v>453.18340148925699</v>
      </c>
      <c r="E490" t="str">
        <f t="shared" si="26"/>
        <v>Buy</v>
      </c>
      <c r="F490">
        <f t="shared" si="28"/>
        <v>1</v>
      </c>
      <c r="G490">
        <f t="shared" si="27"/>
        <v>-6.1373974238931083E-3</v>
      </c>
      <c r="H490" s="12" cm="1">
        <f t="array" ref="H490">PRODUCT(1+G$2:G490)-1</f>
        <v>7.8515521087758833E-2</v>
      </c>
      <c r="I490">
        <f>H490-MAX(H$2:H490)</f>
        <v>-5.7696115712627893E-2</v>
      </c>
      <c r="L490" s="2">
        <f t="shared" si="29"/>
        <v>0.30607347361945947</v>
      </c>
    </row>
    <row r="491" spans="1:12" x14ac:dyDescent="0.25">
      <c r="A491" s="1">
        <v>44622</v>
      </c>
      <c r="B491">
        <v>432.36999511718699</v>
      </c>
      <c r="C491">
        <v>440.88800201416001</v>
      </c>
      <c r="D491">
        <v>452.59980163574198</v>
      </c>
      <c r="E491" t="str">
        <f t="shared" si="26"/>
        <v>Buy</v>
      </c>
      <c r="F491">
        <f t="shared" si="28"/>
        <v>1</v>
      </c>
      <c r="G491">
        <f t="shared" si="27"/>
        <v>1.8733969042696048E-2</v>
      </c>
      <c r="H491" s="12" cm="1">
        <f t="array" ref="H491">PRODUCT(1+G$2:G491)-1</f>
        <v>9.8720397471883992E-2</v>
      </c>
      <c r="I491">
        <f>H491-MAX(H$2:H491)</f>
        <v>-3.7491239328502735E-2</v>
      </c>
      <c r="L491" s="2">
        <f t="shared" si="29"/>
        <v>0.29805758164705226</v>
      </c>
    </row>
    <row r="492" spans="1:12" x14ac:dyDescent="0.25">
      <c r="A492" s="1">
        <v>44623</v>
      </c>
      <c r="B492">
        <v>440.47000122070301</v>
      </c>
      <c r="C492">
        <v>440.13650207519498</v>
      </c>
      <c r="D492">
        <v>452.31960144042898</v>
      </c>
      <c r="E492" t="str">
        <f t="shared" si="26"/>
        <v>Buy</v>
      </c>
      <c r="F492">
        <f t="shared" si="28"/>
        <v>1</v>
      </c>
      <c r="G492">
        <f t="shared" si="27"/>
        <v>-1.9797037701856444E-2</v>
      </c>
      <c r="H492" s="12" cm="1">
        <f t="array" ref="H492">PRODUCT(1+G$2:G492)-1</f>
        <v>7.6968988339334299E-2</v>
      </c>
      <c r="I492">
        <f>H492-MAX(H$2:H492)</f>
        <v>-5.9242648461052427E-2</v>
      </c>
      <c r="L492" s="2">
        <f t="shared" si="29"/>
        <v>0.32237535219726504</v>
      </c>
    </row>
    <row r="493" spans="1:12" x14ac:dyDescent="0.25">
      <c r="A493" s="1">
        <v>44624</v>
      </c>
      <c r="B493">
        <v>431.75</v>
      </c>
      <c r="C493">
        <v>439.176501464843</v>
      </c>
      <c r="D493">
        <v>451.78240173339799</v>
      </c>
      <c r="E493" t="str">
        <f t="shared" si="26"/>
        <v>Buy</v>
      </c>
      <c r="F493">
        <f t="shared" si="28"/>
        <v>1</v>
      </c>
      <c r="G493">
        <f t="shared" si="27"/>
        <v>-4.6325930985984703E-4</v>
      </c>
      <c r="H493" s="12" cm="1">
        <f t="array" ref="H493">PRODUCT(1+G$2:G493)-1</f>
        <v>7.6470072429055902E-2</v>
      </c>
      <c r="I493">
        <f>H493-MAX(H$2:H493)</f>
        <v>-5.9741564371330824E-2</v>
      </c>
      <c r="L493" s="2">
        <f t="shared" si="29"/>
        <v>0.29619623749381008</v>
      </c>
    </row>
    <row r="494" spans="1:12" x14ac:dyDescent="0.25">
      <c r="A494" s="1">
        <v>44627</v>
      </c>
      <c r="B494">
        <v>431.54998779296801</v>
      </c>
      <c r="C494">
        <v>438.43650054931601</v>
      </c>
      <c r="D494">
        <v>451.15760131835901</v>
      </c>
      <c r="E494" t="str">
        <f t="shared" si="26"/>
        <v>Buy</v>
      </c>
      <c r="F494">
        <f t="shared" si="28"/>
        <v>1</v>
      </c>
      <c r="G494">
        <f t="shared" si="27"/>
        <v>-2.7644520943664867E-2</v>
      </c>
      <c r="H494" s="12" cm="1">
        <f t="array" ref="H494">PRODUCT(1+G$2:G494)-1</f>
        <v>4.6711572966562365E-2</v>
      </c>
      <c r="I494">
        <f>H494-MAX(H$2:H494)</f>
        <v>-8.9500063833824361E-2</v>
      </c>
      <c r="L494" s="2">
        <f t="shared" si="29"/>
        <v>0.2955957625193858</v>
      </c>
    </row>
    <row r="495" spans="1:12" x14ac:dyDescent="0.25">
      <c r="A495" s="1">
        <v>44628</v>
      </c>
      <c r="B495">
        <v>419.61999511718699</v>
      </c>
      <c r="C495">
        <v>436.941999816894</v>
      </c>
      <c r="D495">
        <v>450.175001220703</v>
      </c>
      <c r="E495" t="str">
        <f t="shared" si="26"/>
        <v>Buy</v>
      </c>
      <c r="F495">
        <f t="shared" si="28"/>
        <v>1</v>
      </c>
      <c r="G495">
        <f t="shared" si="27"/>
        <v>1.3154805765889272E-2</v>
      </c>
      <c r="H495" s="12" cm="1">
        <f t="array" ref="H495">PRODUCT(1+G$2:G495)-1</f>
        <v>6.048086040184586E-2</v>
      </c>
      <c r="I495">
        <f>H495-MAX(H$2:H495)</f>
        <v>-7.5730776398540867E-2</v>
      </c>
      <c r="L495" s="2">
        <f t="shared" si="29"/>
        <v>0.25977963832789519</v>
      </c>
    </row>
    <row r="496" spans="1:12" x14ac:dyDescent="0.25">
      <c r="A496" s="1">
        <v>44629</v>
      </c>
      <c r="B496">
        <v>425.14001464843699</v>
      </c>
      <c r="C496">
        <v>435.86250000000001</v>
      </c>
      <c r="D496">
        <v>449.236601562499</v>
      </c>
      <c r="E496" t="str">
        <f t="shared" si="26"/>
        <v>Buy</v>
      </c>
      <c r="F496">
        <f t="shared" si="28"/>
        <v>1</v>
      </c>
      <c r="G496">
        <f t="shared" si="27"/>
        <v>-6.1627359093275567E-3</v>
      </c>
      <c r="H496" s="12" cm="1">
        <f t="array" ref="H496">PRODUCT(1+G$2:G496)-1</f>
        <v>5.3945396922292721E-2</v>
      </c>
      <c r="I496">
        <f>H496-MAX(H$2:H496)</f>
        <v>-8.2266239878094005E-2</v>
      </c>
      <c r="L496" s="2">
        <f t="shared" si="29"/>
        <v>0.27635179477792088</v>
      </c>
    </row>
    <row r="497" spans="1:12" x14ac:dyDescent="0.25">
      <c r="A497" s="1">
        <v>44630</v>
      </c>
      <c r="B497">
        <v>422.51998901367102</v>
      </c>
      <c r="C497">
        <v>434.22749938964802</v>
      </c>
      <c r="D497">
        <v>448.13260131835898</v>
      </c>
      <c r="E497" t="str">
        <f t="shared" si="26"/>
        <v>Buy</v>
      </c>
      <c r="F497">
        <f t="shared" si="28"/>
        <v>1</v>
      </c>
      <c r="G497">
        <f t="shared" si="27"/>
        <v>1.3253825260642929E-2</v>
      </c>
      <c r="H497" s="12" cm="1">
        <f t="array" ref="H497">PRODUCT(1+G$2:G497)-1</f>
        <v>6.7914205047359788E-2</v>
      </c>
      <c r="I497">
        <f>H497-MAX(H$2:H497)</f>
        <v>-6.8297431753026938E-2</v>
      </c>
      <c r="L497" s="2">
        <f t="shared" si="29"/>
        <v>0.26848597573930827</v>
      </c>
    </row>
    <row r="498" spans="1:12" x14ac:dyDescent="0.25">
      <c r="A498" s="1">
        <v>44631</v>
      </c>
      <c r="B498">
        <v>428.11999511718699</v>
      </c>
      <c r="C498">
        <v>433.06649932861302</v>
      </c>
      <c r="D498">
        <v>447.15540100097598</v>
      </c>
      <c r="E498" t="str">
        <f t="shared" si="26"/>
        <v>Buy</v>
      </c>
      <c r="F498">
        <f t="shared" si="28"/>
        <v>1</v>
      </c>
      <c r="G498">
        <f t="shared" si="27"/>
        <v>-1.6887743042160355E-2</v>
      </c>
      <c r="H498" s="12" cm="1">
        <f t="array" ref="H498">PRODUCT(1+G$2:G498)-1</f>
        <v>4.9879544361447037E-2</v>
      </c>
      <c r="I498">
        <f>H498-MAX(H$2:H498)</f>
        <v>-8.6332092438939689E-2</v>
      </c>
      <c r="L498" s="2">
        <f t="shared" si="29"/>
        <v>0.28529826720733326</v>
      </c>
    </row>
    <row r="499" spans="1:12" x14ac:dyDescent="0.25">
      <c r="A499" s="1">
        <v>44634</v>
      </c>
      <c r="B499">
        <v>420.89001464843699</v>
      </c>
      <c r="C499">
        <v>431.64049987792902</v>
      </c>
      <c r="D499">
        <v>446.01460144042898</v>
      </c>
      <c r="E499" t="str">
        <f t="shared" si="26"/>
        <v>Buy</v>
      </c>
      <c r="F499">
        <f t="shared" si="28"/>
        <v>1</v>
      </c>
      <c r="G499">
        <f t="shared" si="27"/>
        <v>-2.6610886354752473E-3</v>
      </c>
      <c r="H499" s="12" cm="1">
        <f t="array" ref="H499">PRODUCT(1+G$2:G499)-1</f>
        <v>4.7085721837328842E-2</v>
      </c>
      <c r="I499">
        <f>H499-MAX(H$2:H499)</f>
        <v>-8.9125914963057884E-2</v>
      </c>
      <c r="L499" s="2">
        <f t="shared" si="29"/>
        <v>0.26359248033820182</v>
      </c>
    </row>
    <row r="500" spans="1:12" x14ac:dyDescent="0.25">
      <c r="A500" s="1">
        <v>44635</v>
      </c>
      <c r="B500">
        <v>419.76998901367102</v>
      </c>
      <c r="C500">
        <v>430.63299865722598</v>
      </c>
      <c r="D500">
        <v>444.89720092773399</v>
      </c>
      <c r="E500" t="str">
        <f t="shared" si="26"/>
        <v>Buy</v>
      </c>
      <c r="F500">
        <f t="shared" si="28"/>
        <v>1</v>
      </c>
      <c r="G500">
        <f t="shared" si="27"/>
        <v>2.4108502035948019E-2</v>
      </c>
      <c r="H500" s="12" cm="1">
        <f t="array" ref="H500">PRODUCT(1+G$2:G500)-1</f>
        <v>7.2329390094056034E-2</v>
      </c>
      <c r="I500">
        <f>H500-MAX(H$2:H500)</f>
        <v>-6.3882246706330692E-2</v>
      </c>
      <c r="L500" s="2">
        <f t="shared" si="29"/>
        <v>0.26022994874890187</v>
      </c>
    </row>
    <row r="501" spans="1:12" x14ac:dyDescent="0.25">
      <c r="A501" s="1">
        <v>44636</v>
      </c>
      <c r="B501">
        <v>429.89001464843699</v>
      </c>
      <c r="C501">
        <v>429.94099884033199</v>
      </c>
      <c r="D501">
        <v>443.96900146484302</v>
      </c>
      <c r="E501" t="str">
        <f t="shared" si="26"/>
        <v>Buy</v>
      </c>
      <c r="F501">
        <f t="shared" si="28"/>
        <v>1</v>
      </c>
      <c r="G501">
        <f t="shared" si="27"/>
        <v>8.6068100290229987E-3</v>
      </c>
      <c r="H501" s="12" cm="1">
        <f t="array" ref="H501">PRODUCT(1+G$2:G501)-1</f>
        <v>8.1558725443133806E-2</v>
      </c>
      <c r="I501">
        <f>H501-MAX(H$2:H501)</f>
        <v>-5.465291135725292E-2</v>
      </c>
      <c r="L501" s="2">
        <f t="shared" si="29"/>
        <v>0.29061220503407742</v>
      </c>
    </row>
    <row r="502" spans="1:12" x14ac:dyDescent="0.25">
      <c r="A502" s="1">
        <v>44637</v>
      </c>
      <c r="B502">
        <v>433.58999633789</v>
      </c>
      <c r="C502">
        <v>429.42399902343698</v>
      </c>
      <c r="D502">
        <v>443.05640136718699</v>
      </c>
      <c r="E502" t="str">
        <f t="shared" si="26"/>
        <v>Buy</v>
      </c>
      <c r="F502">
        <f t="shared" si="28"/>
        <v>1</v>
      </c>
      <c r="G502">
        <f t="shared" si="27"/>
        <v>1.0170907307264885E-2</v>
      </c>
      <c r="H502" s="12" cm="1">
        <f t="array" ref="H502">PRODUCT(1+G$2:G502)-1</f>
        <v>9.2559158986979417E-2</v>
      </c>
      <c r="I502">
        <f>H502-MAX(H$2:H502)</f>
        <v>-4.3652477813407309E-2</v>
      </c>
      <c r="L502" s="2">
        <f t="shared" si="29"/>
        <v>0.30172025910394423</v>
      </c>
    </row>
    <row r="503" spans="1:12" x14ac:dyDescent="0.25">
      <c r="A503" s="1">
        <v>44638</v>
      </c>
      <c r="B503">
        <v>438</v>
      </c>
      <c r="C503">
        <v>429.16299896240201</v>
      </c>
      <c r="D503">
        <v>442.27320129394502</v>
      </c>
      <c r="E503" t="str">
        <f t="shared" si="26"/>
        <v>Hold</v>
      </c>
      <c r="F503">
        <f t="shared" si="28"/>
        <v>1</v>
      </c>
      <c r="G503">
        <f t="shared" si="27"/>
        <v>1.4474877483767122E-2</v>
      </c>
      <c r="H503" s="12" cm="1">
        <f t="array" ref="H503">PRODUCT(1+G$2:G503)-1</f>
        <v>0.10837381895708353</v>
      </c>
      <c r="I503">
        <f>H503-MAX(H$2:H503)</f>
        <v>-2.7837817843303192E-2</v>
      </c>
      <c r="L503" s="2">
        <f t="shared" si="29"/>
        <v>0.31495993519927928</v>
      </c>
    </row>
    <row r="504" spans="1:12" x14ac:dyDescent="0.25">
      <c r="A504" s="1">
        <v>44641</v>
      </c>
      <c r="B504">
        <v>444.33999633789</v>
      </c>
      <c r="C504">
        <v>429.51349945068301</v>
      </c>
      <c r="D504">
        <v>441.80220092773402</v>
      </c>
      <c r="E504" t="str">
        <f t="shared" si="26"/>
        <v>Hold</v>
      </c>
      <c r="F504">
        <f t="shared" si="28"/>
        <v>1</v>
      </c>
      <c r="G504">
        <f t="shared" si="27"/>
        <v>3.4207791920584651E-3</v>
      </c>
      <c r="H504" s="12" cm="1">
        <f t="array" ref="H504">PRODUCT(1+G$2:G504)-1</f>
        <v>0.11216532105399435</v>
      </c>
      <c r="I504">
        <f>H504-MAX(H$2:H504)</f>
        <v>-2.4046315746392377E-2</v>
      </c>
      <c r="L504" s="2">
        <f t="shared" si="29"/>
        <v>0.33399381915735116</v>
      </c>
    </row>
    <row r="505" spans="1:12" x14ac:dyDescent="0.25">
      <c r="A505" s="1">
        <v>44642</v>
      </c>
      <c r="B505">
        <v>445.85998535156199</v>
      </c>
      <c r="C505">
        <v>430.21199798583899</v>
      </c>
      <c r="D505">
        <v>441.36040039062402</v>
      </c>
      <c r="E505" t="str">
        <f t="shared" si="26"/>
        <v>Hold</v>
      </c>
      <c r="F505">
        <f t="shared" si="28"/>
        <v>1</v>
      </c>
      <c r="G505">
        <f t="shared" si="27"/>
        <v>2.3550404724457298E-3</v>
      </c>
      <c r="H505" s="12" cm="1">
        <f t="array" ref="H505">PRODUCT(1+G$2:G505)-1</f>
        <v>0.1147845153971272</v>
      </c>
      <c r="I505">
        <f>H505-MAX(H$2:H505)</f>
        <v>-2.142712140325953E-2</v>
      </c>
      <c r="L505" s="2">
        <f t="shared" si="29"/>
        <v>0.33855711745625927</v>
      </c>
    </row>
    <row r="506" spans="1:12" x14ac:dyDescent="0.25">
      <c r="A506" s="1">
        <v>44643</v>
      </c>
      <c r="B506">
        <v>446.91000366210898</v>
      </c>
      <c r="C506">
        <v>430.92449798583903</v>
      </c>
      <c r="D506">
        <v>441.04460021972602</v>
      </c>
      <c r="E506" t="str">
        <f t="shared" si="26"/>
        <v>Hold</v>
      </c>
      <c r="F506">
        <f t="shared" si="28"/>
        <v>1</v>
      </c>
      <c r="G506">
        <f t="shared" si="27"/>
        <v>-2.1704620902519203E-3</v>
      </c>
      <c r="H506" s="12" cm="1">
        <f t="array" ref="H506">PRODUCT(1+G$2:G506)-1</f>
        <v>0.11236491786765779</v>
      </c>
      <c r="I506">
        <f>H506-MAX(H$2:H506)</f>
        <v>-2.3846718932728939E-2</v>
      </c>
      <c r="L506" s="2">
        <f t="shared" si="29"/>
        <v>0.34170947364254906</v>
      </c>
    </row>
    <row r="507" spans="1:12" x14ac:dyDescent="0.25">
      <c r="A507" s="1">
        <v>44644</v>
      </c>
      <c r="B507">
        <v>445.94000244140602</v>
      </c>
      <c r="C507">
        <v>432.67049865722601</v>
      </c>
      <c r="D507">
        <v>440.65880004882803</v>
      </c>
      <c r="E507" t="str">
        <f t="shared" si="26"/>
        <v>Hold</v>
      </c>
      <c r="F507">
        <f t="shared" si="28"/>
        <v>1</v>
      </c>
      <c r="G507">
        <f t="shared" si="27"/>
        <v>1.1705613293548011E-2</v>
      </c>
      <c r="H507" s="12" cm="1">
        <f t="array" ref="H507">PRODUCT(1+G$2:G507)-1</f>
        <v>0.1253858314375258</v>
      </c>
      <c r="I507">
        <f>H507-MAX(H$2:H507)</f>
        <v>-1.082580536286093E-2</v>
      </c>
      <c r="L507" s="2">
        <f t="shared" si="29"/>
        <v>0.33879734409387602</v>
      </c>
    </row>
    <row r="508" spans="1:12" x14ac:dyDescent="0.25">
      <c r="A508" s="1">
        <v>44645</v>
      </c>
      <c r="B508">
        <v>451.16000366210898</v>
      </c>
      <c r="C508">
        <v>433.74799957275297</v>
      </c>
      <c r="D508">
        <v>440.250200195312</v>
      </c>
      <c r="E508" t="str">
        <f t="shared" si="26"/>
        <v>Hold</v>
      </c>
      <c r="F508">
        <f t="shared" si="28"/>
        <v>1</v>
      </c>
      <c r="G508">
        <f t="shared" si="27"/>
        <v>1.9948441554630226E-3</v>
      </c>
      <c r="H508" s="12" cm="1">
        <f t="array" ref="H508">PRODUCT(1+G$2:G508)-1</f>
        <v>0.12763080078600963</v>
      </c>
      <c r="I508">
        <f>H508-MAX(H$2:H508)</f>
        <v>-8.5808360143770912E-3</v>
      </c>
      <c r="L508" s="2">
        <f t="shared" si="29"/>
        <v>0.35446878808226806</v>
      </c>
    </row>
    <row r="509" spans="1:12" x14ac:dyDescent="0.25">
      <c r="A509" s="1">
        <v>44648</v>
      </c>
      <c r="B509">
        <v>452.05999755859301</v>
      </c>
      <c r="C509">
        <v>434.749499511718</v>
      </c>
      <c r="D509">
        <v>439.84760009765603</v>
      </c>
      <c r="E509" t="str">
        <f t="shared" si="26"/>
        <v>Hold</v>
      </c>
      <c r="F509">
        <f t="shared" si="28"/>
        <v>1</v>
      </c>
      <c r="G509">
        <f t="shared" si="27"/>
        <v>1.760826327935882E-2</v>
      </c>
      <c r="H509" s="12" cm="1">
        <f t="array" ref="H509">PRODUCT(1+G$2:G509)-1</f>
        <v>0.14748642080816388</v>
      </c>
      <c r="I509">
        <f>H509-MAX(H$2:H509)</f>
        <v>0</v>
      </c>
      <c r="L509" s="2">
        <f t="shared" si="29"/>
        <v>0.35717074222793105</v>
      </c>
    </row>
    <row r="510" spans="1:12" x14ac:dyDescent="0.25">
      <c r="A510" s="1">
        <v>44649</v>
      </c>
      <c r="B510">
        <v>460.01998901367102</v>
      </c>
      <c r="C510">
        <v>435.99849853515599</v>
      </c>
      <c r="D510">
        <v>439.82419982910102</v>
      </c>
      <c r="E510" t="str">
        <f t="shared" si="26"/>
        <v>Hold</v>
      </c>
      <c r="F510">
        <f t="shared" si="28"/>
        <v>1</v>
      </c>
      <c r="G510">
        <f t="shared" si="27"/>
        <v>6.9563786761767717E-4</v>
      </c>
      <c r="H510" s="12" cm="1">
        <f t="array" ref="H510">PRODUCT(1+G$2:G510)-1</f>
        <v>0.14828465581505523</v>
      </c>
      <c r="I510">
        <f>H510-MAX(H$2:H510)</f>
        <v>0</v>
      </c>
      <c r="L510" s="2">
        <f t="shared" si="29"/>
        <v>0.38106816197212329</v>
      </c>
    </row>
    <row r="511" spans="1:12" x14ac:dyDescent="0.25">
      <c r="A511" s="1">
        <v>44650</v>
      </c>
      <c r="B511">
        <v>460.33999633789</v>
      </c>
      <c r="C511">
        <v>437.396998596191</v>
      </c>
      <c r="D511">
        <v>439.83619995117101</v>
      </c>
      <c r="E511" t="str">
        <f t="shared" si="26"/>
        <v>Hold</v>
      </c>
      <c r="F511">
        <f t="shared" si="28"/>
        <v>1</v>
      </c>
      <c r="G511">
        <f t="shared" si="27"/>
        <v>-5.3221134573210585E-3</v>
      </c>
      <c r="H511" s="12" cm="1">
        <f t="array" ref="H511">PRODUCT(1+G$2:G511)-1</f>
        <v>0.14217335459550662</v>
      </c>
      <c r="I511">
        <f>H511-MAX(H$2:H511)</f>
        <v>-6.1113012195486149E-3</v>
      </c>
      <c r="L511" s="2">
        <f t="shared" si="29"/>
        <v>0.38202888528335227</v>
      </c>
    </row>
    <row r="512" spans="1:12" x14ac:dyDescent="0.25">
      <c r="A512" s="1">
        <v>44651</v>
      </c>
      <c r="B512">
        <v>457.89001464843699</v>
      </c>
      <c r="C512">
        <v>438.26799926757798</v>
      </c>
      <c r="D512">
        <v>439.83140014648399</v>
      </c>
      <c r="E512" t="str">
        <f t="shared" si="26"/>
        <v>Hold</v>
      </c>
      <c r="F512">
        <f t="shared" si="28"/>
        <v>1</v>
      </c>
      <c r="G512">
        <f t="shared" si="27"/>
        <v>-1.0002439326746326E-2</v>
      </c>
      <c r="H512" s="12" cm="1">
        <f t="array" ref="H512">PRODUCT(1+G$2:G512)-1</f>
        <v>0.13074883491553879</v>
      </c>
      <c r="I512">
        <f>H512-MAX(H$2:H512)</f>
        <v>-1.7535820899516441E-2</v>
      </c>
      <c r="L512" s="2">
        <f t="shared" si="29"/>
        <v>0.3746735707545793</v>
      </c>
    </row>
    <row r="513" spans="1:12" x14ac:dyDescent="0.25">
      <c r="A513" s="1">
        <v>44652</v>
      </c>
      <c r="B513">
        <v>453.30999755859301</v>
      </c>
      <c r="C513">
        <v>439.34599914550699</v>
      </c>
      <c r="D513">
        <v>439.82260009765599</v>
      </c>
      <c r="E513" t="str">
        <f t="shared" si="26"/>
        <v>Sell</v>
      </c>
      <c r="F513">
        <f t="shared" si="28"/>
        <v>0</v>
      </c>
      <c r="G513">
        <f t="shared" si="27"/>
        <v>0</v>
      </c>
      <c r="H513" s="12" cm="1">
        <f t="array" ref="H513">PRODUCT(1+G$2:G513)-1</f>
        <v>0.13074883491553879</v>
      </c>
      <c r="I513">
        <f>H513-MAX(H$2:H513)</f>
        <v>-1.7535820899516441E-2</v>
      </c>
      <c r="L513" s="2">
        <f t="shared" si="29"/>
        <v>0.36092348176902489</v>
      </c>
    </row>
    <row r="514" spans="1:12" x14ac:dyDescent="0.25">
      <c r="A514" s="1">
        <v>44655</v>
      </c>
      <c r="B514">
        <v>453.13000488281199</v>
      </c>
      <c r="C514">
        <v>440.42500000000001</v>
      </c>
      <c r="D514">
        <v>439.97400024413997</v>
      </c>
      <c r="E514" t="str">
        <f t="shared" si="26"/>
        <v>Sell</v>
      </c>
      <c r="F514">
        <f t="shared" si="28"/>
        <v>0</v>
      </c>
      <c r="G514">
        <f t="shared" si="27"/>
        <v>0</v>
      </c>
      <c r="H514" s="12" cm="1">
        <f t="array" ref="H514">PRODUCT(1+G$2:G514)-1</f>
        <v>0.13074883491553879</v>
      </c>
      <c r="I514">
        <f>H514-MAX(H$2:H514)</f>
        <v>-1.7535820899516441E-2</v>
      </c>
      <c r="L514" s="2">
        <f t="shared" si="29"/>
        <v>0.36038310926381634</v>
      </c>
    </row>
    <row r="515" spans="1:12" x14ac:dyDescent="0.25">
      <c r="A515" s="1">
        <v>44656</v>
      </c>
      <c r="B515">
        <v>455.22000122070301</v>
      </c>
      <c r="C515">
        <v>442.20500030517502</v>
      </c>
      <c r="D515">
        <v>440.43780029296801</v>
      </c>
      <c r="E515" t="str">
        <f t="shared" ref="E515:E578" si="30">IF(OR(ISBLANK(C515),ISBLANK(D515),ISBLANK(C516),ISBLANK(D516)), "Hold", IF(AND(C515&gt;C516,C516&lt;=D516), "Buy", IF(AND(C515&lt;C516,C516&gt;=D516), "Sell", "Hold")))</f>
        <v>Sell</v>
      </c>
      <c r="F515">
        <f t="shared" si="28"/>
        <v>0</v>
      </c>
      <c r="G515">
        <f t="shared" ref="G515:G578" si="31">IF(F515=1,(B516-B515)/B515,0)</f>
        <v>0</v>
      </c>
      <c r="H515" s="12" cm="1">
        <f t="array" ref="H515">PRODUCT(1+G$2:G515)-1</f>
        <v>0.13074883491553879</v>
      </c>
      <c r="I515">
        <f>H515-MAX(H$2:H515)</f>
        <v>-1.7535820899516441E-2</v>
      </c>
      <c r="L515" s="2">
        <f t="shared" si="29"/>
        <v>0.36665767878217226</v>
      </c>
    </row>
    <row r="516" spans="1:12" x14ac:dyDescent="0.25">
      <c r="A516" s="1">
        <v>44657</v>
      </c>
      <c r="B516">
        <v>446.89001464843699</v>
      </c>
      <c r="C516">
        <v>443.292500305175</v>
      </c>
      <c r="D516">
        <v>440.71440063476501</v>
      </c>
      <c r="E516" t="str">
        <f t="shared" si="30"/>
        <v>Sell</v>
      </c>
      <c r="F516">
        <f t="shared" ref="F516:F579" si="32">IF(E516="Buy",1, IF(E516="Sell",0,F515))</f>
        <v>0</v>
      </c>
      <c r="G516">
        <f t="shared" si="31"/>
        <v>0</v>
      </c>
      <c r="H516" s="12" cm="1">
        <f t="array" ref="H516">PRODUCT(1+G$2:G516)-1</f>
        <v>0.13074883491553879</v>
      </c>
      <c r="I516">
        <f>H516-MAX(H$2:H516)</f>
        <v>-1.7535820899516441E-2</v>
      </c>
      <c r="L516" s="2">
        <f t="shared" si="29"/>
        <v>0.34164946279295355</v>
      </c>
    </row>
    <row r="517" spans="1:12" x14ac:dyDescent="0.25">
      <c r="A517" s="1">
        <v>44658</v>
      </c>
      <c r="B517">
        <v>445.58999633789</v>
      </c>
      <c r="C517">
        <v>444.446000671386</v>
      </c>
      <c r="D517">
        <v>440.81180053710898</v>
      </c>
      <c r="E517" t="str">
        <f t="shared" si="30"/>
        <v>Sell</v>
      </c>
      <c r="F517">
        <f t="shared" si="32"/>
        <v>0</v>
      </c>
      <c r="G517">
        <f t="shared" si="31"/>
        <v>0</v>
      </c>
      <c r="H517" s="12" cm="1">
        <f t="array" ref="H517">PRODUCT(1+G$2:G517)-1</f>
        <v>0.13074883491553879</v>
      </c>
      <c r="I517">
        <f>H517-MAX(H$2:H517)</f>
        <v>-1.7535820899516441E-2</v>
      </c>
      <c r="L517" s="2">
        <f t="shared" si="29"/>
        <v>0.337746558698445</v>
      </c>
    </row>
    <row r="518" spans="1:12" x14ac:dyDescent="0.25">
      <c r="A518" s="1">
        <v>44659</v>
      </c>
      <c r="B518">
        <v>447.97000122070301</v>
      </c>
      <c r="C518">
        <v>445.43850097656201</v>
      </c>
      <c r="D518">
        <v>441.00600036621</v>
      </c>
      <c r="E518" t="str">
        <f t="shared" si="30"/>
        <v>Sell</v>
      </c>
      <c r="F518">
        <f t="shared" si="32"/>
        <v>0</v>
      </c>
      <c r="G518">
        <f t="shared" si="31"/>
        <v>0</v>
      </c>
      <c r="H518" s="12" cm="1">
        <f t="array" ref="H518">PRODUCT(1+G$2:G518)-1</f>
        <v>0.13074883491553879</v>
      </c>
      <c r="I518">
        <f>H518-MAX(H$2:H518)</f>
        <v>-1.7535820899516441E-2</v>
      </c>
      <c r="L518" s="2">
        <f t="shared" si="29"/>
        <v>0.34489178944382803</v>
      </c>
    </row>
    <row r="519" spans="1:12" x14ac:dyDescent="0.25">
      <c r="A519" s="1">
        <v>44662</v>
      </c>
      <c r="B519">
        <v>444.10998535156199</v>
      </c>
      <c r="C519">
        <v>446.59949951171802</v>
      </c>
      <c r="D519">
        <v>441.23460021972602</v>
      </c>
      <c r="E519" t="str">
        <f t="shared" si="30"/>
        <v>Sell</v>
      </c>
      <c r="F519">
        <f t="shared" si="32"/>
        <v>0</v>
      </c>
      <c r="G519">
        <f t="shared" si="31"/>
        <v>0</v>
      </c>
      <c r="H519" s="12" cm="1">
        <f t="array" ref="H519">PRODUCT(1+G$2:G519)-1</f>
        <v>0.13074883491553879</v>
      </c>
      <c r="I519">
        <f>H519-MAX(H$2:H519)</f>
        <v>-1.7535820899516441E-2</v>
      </c>
      <c r="L519" s="2">
        <f t="shared" ref="L519:L582" si="33">(B519-B$134)/B$134</f>
        <v>0.33330328209872789</v>
      </c>
    </row>
    <row r="520" spans="1:12" x14ac:dyDescent="0.25">
      <c r="A520" s="1">
        <v>44663</v>
      </c>
      <c r="B520">
        <v>443.079986572265</v>
      </c>
      <c r="C520">
        <v>447.76499938964798</v>
      </c>
      <c r="D520">
        <v>441.27140014648398</v>
      </c>
      <c r="E520" t="str">
        <f t="shared" si="30"/>
        <v>Sell</v>
      </c>
      <c r="F520">
        <f t="shared" si="32"/>
        <v>0</v>
      </c>
      <c r="G520">
        <f t="shared" si="31"/>
        <v>0</v>
      </c>
      <c r="H520" s="12" cm="1">
        <f t="array" ref="H520">PRODUCT(1+G$2:G520)-1</f>
        <v>0.13074883491553879</v>
      </c>
      <c r="I520">
        <f>H520-MAX(H$2:H520)</f>
        <v>-1.7535820899516441E-2</v>
      </c>
      <c r="L520" s="2">
        <f t="shared" si="33"/>
        <v>0.33021102838165095</v>
      </c>
    </row>
    <row r="521" spans="1:12" x14ac:dyDescent="0.25">
      <c r="A521" s="1">
        <v>44664</v>
      </c>
      <c r="B521">
        <v>438.02999877929602</v>
      </c>
      <c r="C521">
        <v>448.17199859619097</v>
      </c>
      <c r="D521">
        <v>441.01840026855399</v>
      </c>
      <c r="E521" t="str">
        <f t="shared" si="30"/>
        <v>Sell</v>
      </c>
      <c r="F521">
        <f t="shared" si="32"/>
        <v>0</v>
      </c>
      <c r="G521">
        <f t="shared" si="31"/>
        <v>0</v>
      </c>
      <c r="H521" s="12" cm="1">
        <f t="array" ref="H521">PRODUCT(1+G$2:G521)-1</f>
        <v>0.13074883491553879</v>
      </c>
      <c r="I521">
        <f>H521-MAX(H$2:H521)</f>
        <v>-1.7535820899516441E-2</v>
      </c>
      <c r="L521" s="2">
        <f t="shared" si="33"/>
        <v>0.31504999728347827</v>
      </c>
    </row>
    <row r="522" spans="1:12" x14ac:dyDescent="0.25">
      <c r="A522" s="1">
        <v>44665</v>
      </c>
      <c r="B522">
        <v>443.54998779296801</v>
      </c>
      <c r="C522">
        <v>448.66999816894503</v>
      </c>
      <c r="D522">
        <v>440.77940002441397</v>
      </c>
      <c r="E522" t="str">
        <f t="shared" si="30"/>
        <v>Hold</v>
      </c>
      <c r="F522">
        <f t="shared" si="32"/>
        <v>0</v>
      </c>
      <c r="G522">
        <f t="shared" si="31"/>
        <v>0</v>
      </c>
      <c r="H522" s="12" cm="1">
        <f t="array" ref="H522">PRODUCT(1+G$2:G522)-1</f>
        <v>0.13074883491553879</v>
      </c>
      <c r="I522">
        <f>H522-MAX(H$2:H522)</f>
        <v>-1.7535820899516441E-2</v>
      </c>
      <c r="L522" s="2">
        <f t="shared" si="33"/>
        <v>0.33162206211388656</v>
      </c>
    </row>
    <row r="523" spans="1:12" x14ac:dyDescent="0.25">
      <c r="A523" s="1">
        <v>44669</v>
      </c>
      <c r="B523">
        <v>436.80999755859301</v>
      </c>
      <c r="C523">
        <v>448.610498046874</v>
      </c>
      <c r="D523">
        <v>440.49659973144497</v>
      </c>
      <c r="E523" t="str">
        <f t="shared" si="30"/>
        <v>Hold</v>
      </c>
      <c r="F523">
        <f t="shared" si="32"/>
        <v>0</v>
      </c>
      <c r="G523">
        <f t="shared" si="31"/>
        <v>0</v>
      </c>
      <c r="H523" s="12" cm="1">
        <f t="array" ref="H523">PRODUCT(1+G$2:G523)-1</f>
        <v>0.13074883491553879</v>
      </c>
      <c r="I523">
        <f>H523-MAX(H$2:H523)</f>
        <v>-1.7535820899516441E-2</v>
      </c>
      <c r="L523" s="2">
        <f t="shared" si="33"/>
        <v>0.3113873198265863</v>
      </c>
    </row>
    <row r="524" spans="1:12" x14ac:dyDescent="0.25">
      <c r="A524" s="1">
        <v>44670</v>
      </c>
      <c r="B524">
        <v>437.85998535156199</v>
      </c>
      <c r="C524">
        <v>448.286497497558</v>
      </c>
      <c r="D524">
        <v>440.32679931640598</v>
      </c>
      <c r="E524" t="str">
        <f t="shared" si="30"/>
        <v>Sell</v>
      </c>
      <c r="F524">
        <f t="shared" si="32"/>
        <v>0</v>
      </c>
      <c r="G524">
        <f t="shared" si="31"/>
        <v>0</v>
      </c>
      <c r="H524" s="12" cm="1">
        <f t="array" ref="H524">PRODUCT(1+G$2:G524)-1</f>
        <v>0.13074883491553879</v>
      </c>
      <c r="I524">
        <f>H524-MAX(H$2:H524)</f>
        <v>-1.7535820899516441E-2</v>
      </c>
      <c r="L524" s="2">
        <f t="shared" si="33"/>
        <v>0.31453958439325874</v>
      </c>
    </row>
    <row r="525" spans="1:12" x14ac:dyDescent="0.25">
      <c r="A525" s="1">
        <v>44671</v>
      </c>
      <c r="B525">
        <v>446.92001342773398</v>
      </c>
      <c r="C525">
        <v>448.33949890136699</v>
      </c>
      <c r="D525">
        <v>440.27499938964797</v>
      </c>
      <c r="E525" t="str">
        <f t="shared" si="30"/>
        <v>Sell</v>
      </c>
      <c r="F525">
        <f t="shared" si="32"/>
        <v>0</v>
      </c>
      <c r="G525">
        <f t="shared" si="31"/>
        <v>0</v>
      </c>
      <c r="H525" s="12" cm="1">
        <f t="array" ref="H525">PRODUCT(1+G$2:G525)-1</f>
        <v>0.13074883491553879</v>
      </c>
      <c r="I525">
        <f>H525-MAX(H$2:H525)</f>
        <v>-1.7535820899516441E-2</v>
      </c>
      <c r="L525" s="2">
        <f t="shared" si="33"/>
        <v>0.34173952487715548</v>
      </c>
    </row>
    <row r="526" spans="1:12" x14ac:dyDescent="0.25">
      <c r="A526" s="1">
        <v>44672</v>
      </c>
      <c r="B526">
        <v>448.54000854492102</v>
      </c>
      <c r="C526">
        <v>448.42099914550698</v>
      </c>
      <c r="D526">
        <v>440.31119934082</v>
      </c>
      <c r="E526" t="str">
        <f t="shared" si="30"/>
        <v>Hold</v>
      </c>
      <c r="F526">
        <f t="shared" si="32"/>
        <v>0</v>
      </c>
      <c r="G526">
        <f t="shared" si="31"/>
        <v>0</v>
      </c>
      <c r="H526" s="12" cm="1">
        <f t="array" ref="H526">PRODUCT(1+G$2:G526)-1</f>
        <v>0.13074883491553879</v>
      </c>
      <c r="I526">
        <f>H526-MAX(H$2:H526)</f>
        <v>-1.7535820899516441E-2</v>
      </c>
      <c r="L526" s="2">
        <f t="shared" si="33"/>
        <v>0.34660306066327284</v>
      </c>
    </row>
    <row r="527" spans="1:12" x14ac:dyDescent="0.25">
      <c r="A527" s="1">
        <v>44673</v>
      </c>
      <c r="B527">
        <v>436.91000366210898</v>
      </c>
      <c r="C527">
        <v>447.96949920654203</v>
      </c>
      <c r="D527">
        <v>439.94499938964799</v>
      </c>
      <c r="E527" t="str">
        <f t="shared" si="30"/>
        <v>Hold</v>
      </c>
      <c r="F527">
        <f t="shared" si="32"/>
        <v>0</v>
      </c>
      <c r="G527">
        <f t="shared" si="31"/>
        <v>0</v>
      </c>
      <c r="H527" s="12" cm="1">
        <f t="array" ref="H527">PRODUCT(1+G$2:G527)-1</f>
        <v>0.13074883491553879</v>
      </c>
      <c r="I527">
        <f>H527-MAX(H$2:H527)</f>
        <v>-1.7535820899516441E-2</v>
      </c>
      <c r="L527" s="2">
        <f t="shared" si="33"/>
        <v>0.31168755731379838</v>
      </c>
    </row>
    <row r="528" spans="1:12" x14ac:dyDescent="0.25">
      <c r="A528" s="1">
        <v>44676</v>
      </c>
      <c r="B528">
        <v>423.67001342773398</v>
      </c>
      <c r="C528">
        <v>446.59499969482403</v>
      </c>
      <c r="D528">
        <v>439.39159973144501</v>
      </c>
      <c r="E528" t="str">
        <f t="shared" si="30"/>
        <v>Hold</v>
      </c>
      <c r="F528">
        <f t="shared" si="32"/>
        <v>0</v>
      </c>
      <c r="G528">
        <f t="shared" si="31"/>
        <v>0</v>
      </c>
      <c r="H528" s="12" cm="1">
        <f t="array" ref="H528">PRODUCT(1+G$2:G528)-1</f>
        <v>0.13074883491553879</v>
      </c>
      <c r="I528">
        <f>H528-MAX(H$2:H528)</f>
        <v>-1.7535820899516441E-2</v>
      </c>
      <c r="L528" s="2">
        <f t="shared" si="33"/>
        <v>0.27193856941281014</v>
      </c>
    </row>
    <row r="529" spans="1:12" x14ac:dyDescent="0.25">
      <c r="A529" s="1">
        <v>44677</v>
      </c>
      <c r="B529">
        <v>425.829986572265</v>
      </c>
      <c r="C529">
        <v>445.28349914550699</v>
      </c>
      <c r="D529">
        <v>438.91999938964801</v>
      </c>
      <c r="E529" t="str">
        <f t="shared" si="30"/>
        <v>Hold</v>
      </c>
      <c r="F529">
        <f t="shared" si="32"/>
        <v>0</v>
      </c>
      <c r="G529">
        <f t="shared" si="31"/>
        <v>0</v>
      </c>
      <c r="H529" s="12" cm="1">
        <f t="array" ref="H529">PRODUCT(1+G$2:G529)-1</f>
        <v>0.13074883491553879</v>
      </c>
      <c r="I529">
        <f>H529-MAX(H$2:H529)</f>
        <v>-1.7535820899516441E-2</v>
      </c>
      <c r="L529" s="2">
        <f t="shared" si="33"/>
        <v>0.27842322271455605</v>
      </c>
    </row>
    <row r="530" spans="1:12" x14ac:dyDescent="0.25">
      <c r="A530" s="1">
        <v>44678</v>
      </c>
      <c r="B530">
        <v>417.239990234375</v>
      </c>
      <c r="C530">
        <v>443.14449920654198</v>
      </c>
      <c r="D530">
        <v>438.46639892578099</v>
      </c>
      <c r="E530" t="str">
        <f t="shared" si="30"/>
        <v>Hold</v>
      </c>
      <c r="F530">
        <f t="shared" si="32"/>
        <v>0</v>
      </c>
      <c r="G530">
        <f t="shared" si="31"/>
        <v>0</v>
      </c>
      <c r="H530" s="12" cm="1">
        <f t="array" ref="H530">PRODUCT(1+G$2:G530)-1</f>
        <v>0.13074883491553879</v>
      </c>
      <c r="I530">
        <f>H530-MAX(H$2:H530)</f>
        <v>-1.7535820899516441E-2</v>
      </c>
      <c r="L530" s="2">
        <f t="shared" si="33"/>
        <v>0.25263440758251521</v>
      </c>
    </row>
    <row r="531" spans="1:12" x14ac:dyDescent="0.25">
      <c r="A531" s="1">
        <v>44679</v>
      </c>
      <c r="B531">
        <v>422.29000854492102</v>
      </c>
      <c r="C531">
        <v>441.24199981689401</v>
      </c>
      <c r="D531">
        <v>438.03759887695298</v>
      </c>
      <c r="E531" t="str">
        <f t="shared" si="30"/>
        <v>Hold</v>
      </c>
      <c r="F531">
        <f t="shared" si="32"/>
        <v>0</v>
      </c>
      <c r="G531">
        <f t="shared" si="31"/>
        <v>0</v>
      </c>
      <c r="H531" s="12" cm="1">
        <f t="array" ref="H531">PRODUCT(1+G$2:G531)-1</f>
        <v>0.13074883491553879</v>
      </c>
      <c r="I531">
        <f>H531-MAX(H$2:H531)</f>
        <v>-1.7535820899516441E-2</v>
      </c>
      <c r="L531" s="2">
        <f t="shared" si="33"/>
        <v>0.26779553030030234</v>
      </c>
    </row>
    <row r="532" spans="1:12" x14ac:dyDescent="0.25">
      <c r="A532" s="1">
        <v>44680</v>
      </c>
      <c r="B532">
        <v>423.58999633789</v>
      </c>
      <c r="C532">
        <v>439.52699890136699</v>
      </c>
      <c r="D532">
        <v>437.63079895019501</v>
      </c>
      <c r="E532" t="str">
        <f t="shared" si="30"/>
        <v>Hold</v>
      </c>
      <c r="F532">
        <f t="shared" si="32"/>
        <v>0</v>
      </c>
      <c r="G532">
        <f t="shared" si="31"/>
        <v>0</v>
      </c>
      <c r="H532" s="12" cm="1">
        <f t="array" ref="H532">PRODUCT(1+G$2:G532)-1</f>
        <v>0.13074883491553879</v>
      </c>
      <c r="I532">
        <f>H532-MAX(H$2:H532)</f>
        <v>-1.7535820899516441E-2</v>
      </c>
      <c r="L532" s="2">
        <f t="shared" si="33"/>
        <v>0.27169834277519356</v>
      </c>
    </row>
    <row r="533" spans="1:12" x14ac:dyDescent="0.25">
      <c r="A533" s="1">
        <v>44683</v>
      </c>
      <c r="B533">
        <v>412.07000732421801</v>
      </c>
      <c r="C533">
        <v>437.46499938964803</v>
      </c>
      <c r="D533">
        <v>437.00779907226502</v>
      </c>
      <c r="E533" t="str">
        <f t="shared" si="30"/>
        <v>Buy</v>
      </c>
      <c r="F533">
        <f t="shared" si="32"/>
        <v>1</v>
      </c>
      <c r="G533">
        <f t="shared" si="31"/>
        <v>7.1347159199912011E-3</v>
      </c>
      <c r="H533" s="12" cm="1">
        <f t="array" ref="H533">PRODUCT(1+G$2:G533)-1</f>
        <v>0.13881640662952233</v>
      </c>
      <c r="I533">
        <f>H533-MAX(H$2:H533)</f>
        <v>-9.4682491855329065E-3</v>
      </c>
      <c r="L533" s="2">
        <f t="shared" si="33"/>
        <v>0.2371131281475348</v>
      </c>
    </row>
    <row r="534" spans="1:12" x14ac:dyDescent="0.25">
      <c r="A534" s="1">
        <v>44684</v>
      </c>
      <c r="B534">
        <v>415.010009765625</v>
      </c>
      <c r="C534">
        <v>435.55899963378903</v>
      </c>
      <c r="D534">
        <v>436.561399536132</v>
      </c>
      <c r="E534" t="str">
        <f t="shared" si="30"/>
        <v>Buy</v>
      </c>
      <c r="F534">
        <f t="shared" si="32"/>
        <v>1</v>
      </c>
      <c r="G534">
        <f t="shared" si="31"/>
        <v>4.9877756148797702E-3</v>
      </c>
      <c r="H534" s="12" cm="1">
        <f t="array" ref="H534">PRODUCT(1+G$2:G534)-1</f>
        <v>0.14449656733233396</v>
      </c>
      <c r="I534">
        <f>H534-MAX(H$2:H534)</f>
        <v>-3.7880884827212746E-3</v>
      </c>
      <c r="L534" s="2">
        <f t="shared" si="33"/>
        <v>0.24593957887775914</v>
      </c>
    </row>
    <row r="535" spans="1:12" x14ac:dyDescent="0.25">
      <c r="A535" s="1">
        <v>44685</v>
      </c>
      <c r="B535">
        <v>417.079986572265</v>
      </c>
      <c r="C535">
        <v>433.65199890136699</v>
      </c>
      <c r="D535">
        <v>436.26519897460901</v>
      </c>
      <c r="E535" t="str">
        <f t="shared" si="30"/>
        <v>Buy</v>
      </c>
      <c r="F535">
        <f t="shared" si="32"/>
        <v>1</v>
      </c>
      <c r="G535">
        <f t="shared" si="31"/>
        <v>1.7910236552212817E-2</v>
      </c>
      <c r="H535" s="12" cm="1">
        <f t="array" ref="H535">PRODUCT(1+G$2:G535)-1</f>
        <v>0.16499477158645171</v>
      </c>
      <c r="I535">
        <f>H535-MAX(H$2:H535)</f>
        <v>0</v>
      </c>
      <c r="L535" s="2">
        <f t="shared" si="33"/>
        <v>0.25215404592689922</v>
      </c>
    </row>
    <row r="536" spans="1:12" x14ac:dyDescent="0.25">
      <c r="A536" s="1">
        <v>44686</v>
      </c>
      <c r="B536">
        <v>424.54998779296801</v>
      </c>
      <c r="C536">
        <v>432.53499755859298</v>
      </c>
      <c r="D536">
        <v>436.10299865722601</v>
      </c>
      <c r="E536" t="str">
        <f t="shared" si="30"/>
        <v>Buy</v>
      </c>
      <c r="F536">
        <f t="shared" si="32"/>
        <v>1</v>
      </c>
      <c r="G536">
        <f t="shared" si="31"/>
        <v>-3.1680560773003484E-2</v>
      </c>
      <c r="H536" s="12" cm="1">
        <f t="array" ref="H536">PRODUCT(1+G$2:G536)-1</f>
        <v>0.1280870839249757</v>
      </c>
      <c r="I536">
        <f>H536-MAX(H$2:H536)</f>
        <v>-3.6907687661476007E-2</v>
      </c>
      <c r="L536" s="2">
        <f t="shared" si="33"/>
        <v>0.27458042108926028</v>
      </c>
    </row>
    <row r="537" spans="1:12" x14ac:dyDescent="0.25">
      <c r="A537" s="1">
        <v>44687</v>
      </c>
      <c r="B537">
        <v>411.100006103515</v>
      </c>
      <c r="C537">
        <v>430.81049804687501</v>
      </c>
      <c r="D537">
        <v>436.10459899902298</v>
      </c>
      <c r="E537" t="str">
        <f t="shared" si="30"/>
        <v>Buy</v>
      </c>
      <c r="F537">
        <f t="shared" si="32"/>
        <v>1</v>
      </c>
      <c r="G537">
        <f t="shared" si="31"/>
        <v>-1.4594988837069488E-2</v>
      </c>
      <c r="H537" s="12" cm="1">
        <f t="array" ref="H537">PRODUCT(1+G$2:G537)-1</f>
        <v>0.1116226655278485</v>
      </c>
      <c r="I537">
        <f>H537-MAX(H$2:H537)</f>
        <v>-5.3372106058603208E-2</v>
      </c>
      <c r="L537" s="2">
        <f t="shared" si="33"/>
        <v>0.23420099859886162</v>
      </c>
    </row>
    <row r="538" spans="1:12" x14ac:dyDescent="0.25">
      <c r="A538" s="1">
        <v>44690</v>
      </c>
      <c r="B538">
        <v>405.100006103515</v>
      </c>
      <c r="C538">
        <v>428.66699829101498</v>
      </c>
      <c r="D538">
        <v>435.61439941406201</v>
      </c>
      <c r="E538" t="str">
        <f t="shared" si="30"/>
        <v>Buy</v>
      </c>
      <c r="F538">
        <f t="shared" si="32"/>
        <v>1</v>
      </c>
      <c r="G538">
        <f t="shared" si="31"/>
        <v>-1.5058401874823045E-3</v>
      </c>
      <c r="H538" s="12" cm="1">
        <f t="array" ref="H538">PRODUCT(1+G$2:G538)-1</f>
        <v>0.10994873944478045</v>
      </c>
      <c r="I538">
        <f>H538-MAX(H$2:H538)</f>
        <v>-5.5046032141671253E-2</v>
      </c>
      <c r="L538" s="2">
        <f t="shared" si="33"/>
        <v>0.21618784880161124</v>
      </c>
    </row>
    <row r="539" spans="1:12" x14ac:dyDescent="0.25">
      <c r="A539" s="1">
        <v>44691</v>
      </c>
      <c r="B539">
        <v>404.489990234375</v>
      </c>
      <c r="C539">
        <v>426.68599853515599</v>
      </c>
      <c r="D539">
        <v>435.06359924316399</v>
      </c>
      <c r="E539" t="str">
        <f t="shared" si="30"/>
        <v>Buy</v>
      </c>
      <c r="F539">
        <f t="shared" si="32"/>
        <v>1</v>
      </c>
      <c r="G539">
        <f t="shared" si="31"/>
        <v>-1.5871796744431271E-2</v>
      </c>
      <c r="H539" s="12" cm="1">
        <f t="array" ref="H539">PRODUCT(1+G$2:G539)-1</f>
        <v>9.233185865557525E-2</v>
      </c>
      <c r="I539">
        <f>H539-MAX(H$2:H539)</f>
        <v>-7.2662912930876455E-2</v>
      </c>
      <c r="L539" s="2">
        <f t="shared" si="33"/>
        <v>0.21435646426335811</v>
      </c>
    </row>
    <row r="540" spans="1:12" x14ac:dyDescent="0.25">
      <c r="A540" s="1">
        <v>44692</v>
      </c>
      <c r="B540">
        <v>398.07000732421801</v>
      </c>
      <c r="C540">
        <v>424.43549957275297</v>
      </c>
      <c r="D540">
        <v>434.32419921874902</v>
      </c>
      <c r="E540" t="str">
        <f t="shared" si="30"/>
        <v>Buy</v>
      </c>
      <c r="F540">
        <f t="shared" si="32"/>
        <v>1</v>
      </c>
      <c r="G540">
        <f t="shared" si="31"/>
        <v>-2.1855482822007943E-2</v>
      </c>
      <c r="H540" s="12" cm="1">
        <f t="array" ref="H540">PRODUCT(1+G$2:G540)-1</f>
        <v>6.8458418482796324E-2</v>
      </c>
      <c r="I540">
        <f>H540-MAX(H$2:H540)</f>
        <v>-9.6536353103655381E-2</v>
      </c>
      <c r="L540" s="2">
        <f t="shared" si="33"/>
        <v>0.19508244528728388</v>
      </c>
    </row>
    <row r="541" spans="1:12" x14ac:dyDescent="0.25">
      <c r="A541" s="1">
        <v>44693</v>
      </c>
      <c r="B541">
        <v>389.36999511718699</v>
      </c>
      <c r="C541">
        <v>422.00249938964799</v>
      </c>
      <c r="D541">
        <v>433.464199218749</v>
      </c>
      <c r="E541" t="str">
        <f t="shared" si="30"/>
        <v>Buy</v>
      </c>
      <c r="F541">
        <f t="shared" si="32"/>
        <v>1</v>
      </c>
      <c r="G541">
        <f t="shared" si="31"/>
        <v>1.8850955209535177E-2</v>
      </c>
      <c r="H541" s="12" cm="1">
        <f t="array" ref="H541">PRODUCT(1+G$2:G541)-1</f>
        <v>8.8599880272866471E-2</v>
      </c>
      <c r="I541">
        <f>H541-MAX(H$2:H541)</f>
        <v>-7.6394891313585234E-2</v>
      </c>
      <c r="L541" s="2">
        <f t="shared" si="33"/>
        <v>0.1689633414334244</v>
      </c>
    </row>
    <row r="542" spans="1:12" x14ac:dyDescent="0.25">
      <c r="A542" s="1">
        <v>44694</v>
      </c>
      <c r="B542">
        <v>396.70999145507801</v>
      </c>
      <c r="C542">
        <v>419.660499572753</v>
      </c>
      <c r="D542">
        <v>432.588999023437</v>
      </c>
      <c r="E542" t="str">
        <f t="shared" si="30"/>
        <v>Buy</v>
      </c>
      <c r="F542">
        <f t="shared" si="32"/>
        <v>1</v>
      </c>
      <c r="G542">
        <f t="shared" si="31"/>
        <v>8.2428464159826562E-3</v>
      </c>
      <c r="H542" s="12" cm="1">
        <f t="array" ref="H542">PRODUCT(1+G$2:G542)-1</f>
        <v>9.757304189441296E-2</v>
      </c>
      <c r="I542">
        <f>H542-MAX(H$2:H542)</f>
        <v>-6.7421729692038745E-2</v>
      </c>
      <c r="L542" s="2">
        <f t="shared" si="33"/>
        <v>0.19099941702437445</v>
      </c>
    </row>
    <row r="543" spans="1:12" x14ac:dyDescent="0.25">
      <c r="A543" s="1">
        <v>44697</v>
      </c>
      <c r="B543">
        <v>399.98001098632801</v>
      </c>
      <c r="C543">
        <v>417.81900024414</v>
      </c>
      <c r="D543">
        <v>431.95359924316398</v>
      </c>
      <c r="E543" t="str">
        <f t="shared" si="30"/>
        <v>Buy</v>
      </c>
      <c r="F543">
        <f t="shared" si="32"/>
        <v>1</v>
      </c>
      <c r="G543">
        <f t="shared" si="31"/>
        <v>1.6375787822036688E-2</v>
      </c>
      <c r="H543" s="12" cm="1">
        <f t="array" ref="H543">PRODUCT(1+G$2:G543)-1</f>
        <v>0.11554666514766332</v>
      </c>
      <c r="I543">
        <f>H543-MAX(H$2:H543)</f>
        <v>-4.9448106438788386E-2</v>
      </c>
      <c r="L543" s="2">
        <f t="shared" si="33"/>
        <v>0.20081664230043125</v>
      </c>
    </row>
    <row r="544" spans="1:12" x14ac:dyDescent="0.25">
      <c r="A544" s="1">
        <v>44698</v>
      </c>
      <c r="B544">
        <v>406.52999877929602</v>
      </c>
      <c r="C544">
        <v>416.25250091552698</v>
      </c>
      <c r="D544">
        <v>431.45319946288998</v>
      </c>
      <c r="E544" t="str">
        <f t="shared" si="30"/>
        <v>Buy</v>
      </c>
      <c r="F544">
        <f t="shared" si="32"/>
        <v>1</v>
      </c>
      <c r="G544">
        <f t="shared" si="31"/>
        <v>-7.4533214975384884E-3</v>
      </c>
      <c r="H544" s="12" cm="1">
        <f t="array" ref="H544">PRODUCT(1+G$2:G544)-1</f>
        <v>0.1072321372068108</v>
      </c>
      <c r="I544">
        <f>H544-MAX(H$2:H544)</f>
        <v>-5.7762634379640909E-2</v>
      </c>
      <c r="L544" s="2">
        <f t="shared" si="33"/>
        <v>0.22048096084791363</v>
      </c>
    </row>
    <row r="545" spans="1:12" x14ac:dyDescent="0.25">
      <c r="A545" s="1">
        <v>44699</v>
      </c>
      <c r="B545">
        <v>403.5</v>
      </c>
      <c r="C545">
        <v>414.08150024413999</v>
      </c>
      <c r="D545">
        <v>431.130799560546</v>
      </c>
      <c r="E545" t="str">
        <f t="shared" si="30"/>
        <v>Buy</v>
      </c>
      <c r="F545">
        <f t="shared" si="32"/>
        <v>1</v>
      </c>
      <c r="G545">
        <f t="shared" si="31"/>
        <v>-3.6877335521221841E-2</v>
      </c>
      <c r="H545" s="12" cm="1">
        <f t="array" ref="H545">PRODUCT(1+G$2:G545)-1</f>
        <v>6.640036618315559E-2</v>
      </c>
      <c r="I545">
        <f>H545-MAX(H$2:H545)</f>
        <v>-9.8594405403296115E-2</v>
      </c>
      <c r="L545" s="2">
        <f t="shared" si="33"/>
        <v>0.21138432386508946</v>
      </c>
    </row>
    <row r="546" spans="1:12" x14ac:dyDescent="0.25">
      <c r="A546" s="1">
        <v>44700</v>
      </c>
      <c r="B546">
        <v>388.61999511718699</v>
      </c>
      <c r="C546">
        <v>411.08549957275301</v>
      </c>
      <c r="D546">
        <v>430.400399169921</v>
      </c>
      <c r="E546" t="str">
        <f t="shared" si="30"/>
        <v>Buy</v>
      </c>
      <c r="F546">
        <f t="shared" si="32"/>
        <v>1</v>
      </c>
      <c r="G546">
        <f t="shared" si="31"/>
        <v>1.1913964646664282E-2</v>
      </c>
      <c r="H546" s="12" cm="1">
        <f t="array" ref="H546">PRODUCT(1+G$2:G546)-1</f>
        <v>7.9105422445051587E-2</v>
      </c>
      <c r="I546">
        <f>H546-MAX(H$2:H546)</f>
        <v>-8.5889349141400118E-2</v>
      </c>
      <c r="L546" s="2">
        <f t="shared" si="33"/>
        <v>0.16671169770876809</v>
      </c>
    </row>
    <row r="547" spans="1:12" x14ac:dyDescent="0.25">
      <c r="A547" s="1">
        <v>44701</v>
      </c>
      <c r="B547">
        <v>393.25</v>
      </c>
      <c r="C547">
        <v>408.90249938964803</v>
      </c>
      <c r="D547">
        <v>429.81499938964799</v>
      </c>
      <c r="E547" t="str">
        <f t="shared" si="30"/>
        <v>Buy</v>
      </c>
      <c r="F547">
        <f t="shared" si="32"/>
        <v>1</v>
      </c>
      <c r="G547">
        <f t="shared" si="31"/>
        <v>-1.0680570317482525E-3</v>
      </c>
      <c r="H547" s="12" cm="1">
        <f t="array" ref="H547">PRODUCT(1+G$2:G547)-1</f>
        <v>7.795287631061143E-2</v>
      </c>
      <c r="I547">
        <f>H547-MAX(H$2:H547)</f>
        <v>-8.7041895275840275E-2</v>
      </c>
      <c r="L547" s="2">
        <f t="shared" si="33"/>
        <v>0.18061185962812001</v>
      </c>
    </row>
    <row r="548" spans="1:12" x14ac:dyDescent="0.25">
      <c r="A548" s="1">
        <v>44704</v>
      </c>
      <c r="B548">
        <v>392.829986572265</v>
      </c>
      <c r="C548">
        <v>407.360498046874</v>
      </c>
      <c r="D548">
        <v>429.10919921874898</v>
      </c>
      <c r="E548" t="str">
        <f t="shared" si="30"/>
        <v>Buy</v>
      </c>
      <c r="F548">
        <f t="shared" si="32"/>
        <v>1</v>
      </c>
      <c r="G548">
        <f t="shared" si="31"/>
        <v>-6.8729227121341841E-4</v>
      </c>
      <c r="H548" s="12" cm="1">
        <f t="array" ref="H548">PRODUCT(1+G$2:G548)-1</f>
        <v>7.721200762999092E-2</v>
      </c>
      <c r="I548">
        <f>H548-MAX(H$2:H548)</f>
        <v>-8.7782763956460785E-2</v>
      </c>
      <c r="L548" s="2">
        <f t="shared" si="33"/>
        <v>0.17935089882967883</v>
      </c>
    </row>
    <row r="549" spans="1:12" x14ac:dyDescent="0.25">
      <c r="A549" s="1">
        <v>44705</v>
      </c>
      <c r="B549">
        <v>392.55999755859301</v>
      </c>
      <c r="C549">
        <v>405.69699859619101</v>
      </c>
      <c r="D549">
        <v>428.54259887695298</v>
      </c>
      <c r="E549" t="str">
        <f t="shared" si="30"/>
        <v>Buy</v>
      </c>
      <c r="F549">
        <f t="shared" si="32"/>
        <v>1</v>
      </c>
      <c r="G549">
        <f t="shared" si="31"/>
        <v>-6.3684532696861281E-4</v>
      </c>
      <c r="H549" s="12" cm="1">
        <f t="array" ref="H549">PRODUCT(1+G$2:G549)-1</f>
        <v>7.6525990196777194E-2</v>
      </c>
      <c r="I549">
        <f>H549-MAX(H$2:H549)</f>
        <v>-8.8468781389674511E-2</v>
      </c>
      <c r="L549" s="2">
        <f t="shared" si="33"/>
        <v>0.17854034007186459</v>
      </c>
    </row>
    <row r="550" spans="1:12" x14ac:dyDescent="0.25">
      <c r="A550" s="1">
        <v>44706</v>
      </c>
      <c r="B550">
        <v>392.30999755859301</v>
      </c>
      <c r="C550">
        <v>404.45049896240198</v>
      </c>
      <c r="D550">
        <v>427.99339904785103</v>
      </c>
      <c r="E550" t="str">
        <f t="shared" si="30"/>
        <v>Buy</v>
      </c>
      <c r="F550">
        <f t="shared" si="32"/>
        <v>1</v>
      </c>
      <c r="G550">
        <f t="shared" si="31"/>
        <v>1.6211709894523075E-2</v>
      </c>
      <c r="H550" s="12" cm="1">
        <f t="array" ref="H550">PRODUCT(1+G$2:G550)-1</f>
        <v>9.39783172437616E-2</v>
      </c>
      <c r="I550">
        <f>H550-MAX(H$2:H550)</f>
        <v>-7.1016454342690105E-2</v>
      </c>
      <c r="L550" s="2">
        <f t="shared" si="33"/>
        <v>0.17778979216364582</v>
      </c>
    </row>
    <row r="551" spans="1:12" x14ac:dyDescent="0.25">
      <c r="A551" s="1">
        <v>44707</v>
      </c>
      <c r="B551">
        <v>398.67001342773398</v>
      </c>
      <c r="C551">
        <v>403.26949920654198</v>
      </c>
      <c r="D551">
        <v>427.36899902343703</v>
      </c>
      <c r="E551" t="str">
        <f t="shared" si="30"/>
        <v>Buy</v>
      </c>
      <c r="F551">
        <f t="shared" si="32"/>
        <v>1</v>
      </c>
      <c r="G551">
        <f t="shared" si="31"/>
        <v>2.3177038460781833E-2</v>
      </c>
      <c r="H551" s="12" cm="1">
        <f t="array" ref="H551">PRODUCT(1+G$2:G551)-1</f>
        <v>0.11933349477778177</v>
      </c>
      <c r="I551">
        <f>H551-MAX(H$2:H551)</f>
        <v>-4.5661276808669937E-2</v>
      </c>
      <c r="L551" s="2">
        <f t="shared" si="33"/>
        <v>0.19688377859093348</v>
      </c>
    </row>
    <row r="552" spans="1:12" x14ac:dyDescent="0.25">
      <c r="A552" s="1">
        <v>44708</v>
      </c>
      <c r="B552">
        <v>407.91000366210898</v>
      </c>
      <c r="C552">
        <v>402.48549957275299</v>
      </c>
      <c r="D552">
        <v>426.85539916992099</v>
      </c>
      <c r="E552" t="str">
        <f t="shared" si="30"/>
        <v>Hold</v>
      </c>
      <c r="F552">
        <f t="shared" si="32"/>
        <v>1</v>
      </c>
      <c r="G552">
        <f t="shared" si="31"/>
        <v>1.3826540364846991E-2</v>
      </c>
      <c r="H552" s="12" cm="1">
        <f t="array" ref="H552">PRODUCT(1+G$2:G552)-1</f>
        <v>0.13481000452505199</v>
      </c>
      <c r="I552">
        <f>H552-MAX(H$2:H552)</f>
        <v>-3.018476706139972E-2</v>
      </c>
      <c r="L552" s="2">
        <f t="shared" si="33"/>
        <v>0.22462399996042143</v>
      </c>
    </row>
    <row r="553" spans="1:12" x14ac:dyDescent="0.25">
      <c r="A553" s="1">
        <v>44712</v>
      </c>
      <c r="B553">
        <v>413.54998779296801</v>
      </c>
      <c r="C553">
        <v>402.55949859619102</v>
      </c>
      <c r="D553">
        <v>426.36639892578103</v>
      </c>
      <c r="E553" t="str">
        <f t="shared" si="30"/>
        <v>Hold</v>
      </c>
      <c r="F553">
        <f t="shared" si="32"/>
        <v>1</v>
      </c>
      <c r="G553">
        <f t="shared" si="31"/>
        <v>3.917363517314346E-3</v>
      </c>
      <c r="H553" s="12" cm="1">
        <f t="array" ref="H553">PRODUCT(1+G$2:G553)-1</f>
        <v>0.13925546783586173</v>
      </c>
      <c r="I553">
        <f>H553-MAX(H$2:H553)</f>
        <v>-2.573930375058997E-2</v>
      </c>
      <c r="L553" s="2">
        <f t="shared" si="33"/>
        <v>0.24155631312763456</v>
      </c>
    </row>
    <row r="554" spans="1:12" x14ac:dyDescent="0.25">
      <c r="A554" s="1">
        <v>44713</v>
      </c>
      <c r="B554">
        <v>415.17001342773398</v>
      </c>
      <c r="C554">
        <v>402.56749877929599</v>
      </c>
      <c r="D554">
        <v>425.78299926757802</v>
      </c>
      <c r="E554" t="str">
        <f t="shared" si="30"/>
        <v>Buy</v>
      </c>
      <c r="F554">
        <f t="shared" si="32"/>
        <v>1</v>
      </c>
      <c r="G554">
        <f t="shared" si="31"/>
        <v>-1.3849747847940049E-2</v>
      </c>
      <c r="H554" s="12" cm="1">
        <f t="array" ref="H554">PRODUCT(1+G$2:G554)-1</f>
        <v>0.12347706687194804</v>
      </c>
      <c r="I554">
        <f>H554-MAX(H$2:H554)</f>
        <v>-4.1517704714503667E-2</v>
      </c>
      <c r="L554" s="2">
        <f t="shared" si="33"/>
        <v>0.24641994053337207</v>
      </c>
    </row>
    <row r="555" spans="1:12" x14ac:dyDescent="0.25">
      <c r="A555" s="1">
        <v>44714</v>
      </c>
      <c r="B555">
        <v>409.42001342773398</v>
      </c>
      <c r="C555">
        <v>402.18450012207001</v>
      </c>
      <c r="D555">
        <v>425.05419982910098</v>
      </c>
      <c r="E555" t="str">
        <f t="shared" si="30"/>
        <v>Buy</v>
      </c>
      <c r="F555">
        <f t="shared" si="32"/>
        <v>1</v>
      </c>
      <c r="G555">
        <f t="shared" si="31"/>
        <v>7.2785412803861166E-3</v>
      </c>
      <c r="H555" s="12" cm="1">
        <f t="array" ref="H555">PRODUCT(1+G$2:G555)-1</f>
        <v>0.1316543410807427</v>
      </c>
      <c r="I555">
        <f>H555-MAX(H$2:H555)</f>
        <v>-3.3340430505709007E-2</v>
      </c>
      <c r="L555" s="2">
        <f t="shared" si="33"/>
        <v>0.22915733864434046</v>
      </c>
    </row>
    <row r="556" spans="1:12" x14ac:dyDescent="0.25">
      <c r="A556" s="1">
        <v>44715</v>
      </c>
      <c r="B556">
        <v>412.39999389648398</v>
      </c>
      <c r="C556">
        <v>401.57700042724599</v>
      </c>
      <c r="D556">
        <v>424.36399963378898</v>
      </c>
      <c r="E556" t="str">
        <f t="shared" si="30"/>
        <v>Hold</v>
      </c>
      <c r="F556">
        <f t="shared" si="32"/>
        <v>1</v>
      </c>
      <c r="G556">
        <f t="shared" si="31"/>
        <v>5.7711079486811225E-3</v>
      </c>
      <c r="H556" s="12" cm="1">
        <f t="array" ref="H556">PRODUCT(1+G$2:G556)-1</f>
        <v>0.13818524044371316</v>
      </c>
      <c r="I556">
        <f>H556-MAX(H$2:H556)</f>
        <v>-2.6809531142738541E-2</v>
      </c>
      <c r="L556" s="2">
        <f t="shared" si="33"/>
        <v>0.23810381107375281</v>
      </c>
    </row>
    <row r="557" spans="1:12" x14ac:dyDescent="0.25">
      <c r="A557" s="1">
        <v>44718</v>
      </c>
      <c r="B557">
        <v>414.77999877929602</v>
      </c>
      <c r="C557">
        <v>401.76100006103502</v>
      </c>
      <c r="D557">
        <v>423.74079956054601</v>
      </c>
      <c r="E557" t="str">
        <f t="shared" si="30"/>
        <v>Hold</v>
      </c>
      <c r="F557">
        <f t="shared" si="32"/>
        <v>1</v>
      </c>
      <c r="G557">
        <f t="shared" si="31"/>
        <v>-1.6104905481075137E-2</v>
      </c>
      <c r="H557" s="12" cm="1">
        <f t="array" ref="H557">PRODUCT(1+G$2:G557)-1</f>
        <v>0.11985487472641232</v>
      </c>
      <c r="I557">
        <f>H557-MAX(H$2:H557)</f>
        <v>-4.5139896860039386E-2</v>
      </c>
      <c r="L557" s="2">
        <f t="shared" si="33"/>
        <v>0.24524904181913293</v>
      </c>
    </row>
    <row r="558" spans="1:12" x14ac:dyDescent="0.25">
      <c r="A558" s="1">
        <v>44719</v>
      </c>
      <c r="B558">
        <v>408.100006103515</v>
      </c>
      <c r="C558">
        <v>401.911000061035</v>
      </c>
      <c r="D558">
        <v>422.87959960937502</v>
      </c>
      <c r="E558" t="str">
        <f t="shared" si="30"/>
        <v>Hold</v>
      </c>
      <c r="F558">
        <f t="shared" si="32"/>
        <v>1</v>
      </c>
      <c r="G558">
        <f t="shared" si="31"/>
        <v>1.4285681169010423E-2</v>
      </c>
      <c r="H558" s="12" cm="1">
        <f t="array" ref="H558">PRODUCT(1+G$2:G558)-1</f>
        <v>0.13585276442231597</v>
      </c>
      <c r="I558">
        <f>H558-MAX(H$2:H558)</f>
        <v>-2.914200716413573E-2</v>
      </c>
      <c r="L558" s="2">
        <f t="shared" si="33"/>
        <v>0.22519442370023643</v>
      </c>
    </row>
    <row r="559" spans="1:12" x14ac:dyDescent="0.25">
      <c r="A559" s="1">
        <v>44720</v>
      </c>
      <c r="B559">
        <v>413.92999267578102</v>
      </c>
      <c r="C559">
        <v>402.38300018310503</v>
      </c>
      <c r="D559">
        <v>422.11699951171801</v>
      </c>
      <c r="E559" t="str">
        <f t="shared" si="30"/>
        <v>Hold</v>
      </c>
      <c r="F559">
        <f t="shared" si="32"/>
        <v>1</v>
      </c>
      <c r="G559">
        <f t="shared" si="31"/>
        <v>-1.108882279396997E-2</v>
      </c>
      <c r="H559" s="12" cm="1">
        <f t="array" ref="H559">PRODUCT(1+G$2:G559)-1</f>
        <v>0.12325749439759592</v>
      </c>
      <c r="I559">
        <f>H559-MAX(H$2:H559)</f>
        <v>-4.1737277188855781E-2</v>
      </c>
      <c r="L559" s="2">
        <f t="shared" si="33"/>
        <v>0.24269716060726748</v>
      </c>
    </row>
    <row r="560" spans="1:12" x14ac:dyDescent="0.25">
      <c r="A560" s="1">
        <v>44721</v>
      </c>
      <c r="B560">
        <v>409.33999633789</v>
      </c>
      <c r="C560">
        <v>402.94649963378902</v>
      </c>
      <c r="D560">
        <v>421.10339965820299</v>
      </c>
      <c r="E560" t="str">
        <f t="shared" si="30"/>
        <v>Hold</v>
      </c>
      <c r="F560">
        <f t="shared" si="32"/>
        <v>1</v>
      </c>
      <c r="G560">
        <f t="shared" si="31"/>
        <v>-3.5325137011878997E-2</v>
      </c>
      <c r="H560" s="12" cm="1">
        <f t="array" ref="H560">PRODUCT(1+G$2:G560)-1</f>
        <v>8.3578269508380876E-2</v>
      </c>
      <c r="I560">
        <f>H560-MAX(H$2:H560)</f>
        <v>-8.1416502078070829E-2</v>
      </c>
      <c r="L560" s="2">
        <f t="shared" si="33"/>
        <v>0.22891711200672385</v>
      </c>
    </row>
    <row r="561" spans="1:12" x14ac:dyDescent="0.25">
      <c r="A561" s="1">
        <v>44722</v>
      </c>
      <c r="B561">
        <v>394.88000488281199</v>
      </c>
      <c r="C561">
        <v>403.22200012207003</v>
      </c>
      <c r="D561">
        <v>419.79419982910099</v>
      </c>
      <c r="E561" t="str">
        <f t="shared" si="30"/>
        <v>Buy</v>
      </c>
      <c r="F561">
        <f t="shared" si="32"/>
        <v>1</v>
      </c>
      <c r="G561">
        <f t="shared" si="31"/>
        <v>-3.8062192548233537E-2</v>
      </c>
      <c r="H561" s="12" cm="1">
        <f t="array" ref="H561">PRODUCT(1+G$2:G561)-1</f>
        <v>4.2334904773271287E-2</v>
      </c>
      <c r="I561">
        <f>H561-MAX(H$2:H561)</f>
        <v>-0.12265986681318042</v>
      </c>
      <c r="L561" s="2">
        <f t="shared" si="33"/>
        <v>0.18550544664884366</v>
      </c>
    </row>
    <row r="562" spans="1:12" x14ac:dyDescent="0.25">
      <c r="A562" s="1">
        <v>44725</v>
      </c>
      <c r="B562">
        <v>379.850006103515</v>
      </c>
      <c r="C562">
        <v>402.37900085449201</v>
      </c>
      <c r="D562">
        <v>418.23339965820298</v>
      </c>
      <c r="E562" t="str">
        <f t="shared" si="30"/>
        <v>Buy</v>
      </c>
      <c r="F562">
        <f t="shared" si="32"/>
        <v>1</v>
      </c>
      <c r="G562">
        <f t="shared" si="31"/>
        <v>-7.8978542893124327E-3</v>
      </c>
      <c r="H562" s="12" cm="1">
        <f t="array" ref="H562">PRODUCT(1+G$2:G562)-1</f>
        <v>3.4102695574707687E-2</v>
      </c>
      <c r="I562">
        <f>H562-MAX(H$2:H562)</f>
        <v>-0.13089207601174402</v>
      </c>
      <c r="L562" s="2">
        <f t="shared" si="33"/>
        <v>0.14038251007151578</v>
      </c>
    </row>
    <row r="563" spans="1:12" x14ac:dyDescent="0.25">
      <c r="A563" s="1">
        <v>44726</v>
      </c>
      <c r="B563">
        <v>376.850006103515</v>
      </c>
      <c r="C563">
        <v>401.22250061035101</v>
      </c>
      <c r="D563">
        <v>416.70419982910101</v>
      </c>
      <c r="E563" t="str">
        <f t="shared" si="30"/>
        <v>Buy</v>
      </c>
      <c r="F563">
        <f t="shared" si="32"/>
        <v>1</v>
      </c>
      <c r="G563">
        <f t="shared" si="31"/>
        <v>1.3532685147599681E-3</v>
      </c>
      <c r="H563" s="12" cm="1">
        <f t="array" ref="H563">PRODUCT(1+G$2:G563)-1</f>
        <v>3.5502114193657341E-2</v>
      </c>
      <c r="I563">
        <f>H563-MAX(H$2:H563)</f>
        <v>-0.12949265739279436</v>
      </c>
      <c r="L563" s="2">
        <f t="shared" si="33"/>
        <v>0.13137593517289059</v>
      </c>
    </row>
    <row r="564" spans="1:12" x14ac:dyDescent="0.25">
      <c r="A564" s="1">
        <v>44727</v>
      </c>
      <c r="B564">
        <v>377.35998535156199</v>
      </c>
      <c r="C564">
        <v>399.76399993896399</v>
      </c>
      <c r="D564">
        <v>415.188799438476</v>
      </c>
      <c r="E564" t="str">
        <f t="shared" si="30"/>
        <v>Buy</v>
      </c>
      <c r="F564">
        <f t="shared" si="32"/>
        <v>1</v>
      </c>
      <c r="G564">
        <f t="shared" si="31"/>
        <v>-1.8152363397924417E-2</v>
      </c>
      <c r="H564" s="12" cm="1">
        <f t="array" ref="H564">PRODUCT(1+G$2:G564)-1</f>
        <v>1.6705303517495107E-2</v>
      </c>
      <c r="I564">
        <f>H564-MAX(H$2:H564)</f>
        <v>-0.1482894680689566</v>
      </c>
      <c r="L564" s="2">
        <f t="shared" si="33"/>
        <v>0.13290699060431718</v>
      </c>
    </row>
    <row r="565" spans="1:12" x14ac:dyDescent="0.25">
      <c r="A565" s="1">
        <v>44728</v>
      </c>
      <c r="B565">
        <v>370.510009765625</v>
      </c>
      <c r="C565">
        <v>398.11450042724601</v>
      </c>
      <c r="D565">
        <v>413.49459960937401</v>
      </c>
      <c r="E565" t="str">
        <f t="shared" si="30"/>
        <v>Buy</v>
      </c>
      <c r="F565">
        <f t="shared" si="32"/>
        <v>1</v>
      </c>
      <c r="G565">
        <f t="shared" si="31"/>
        <v>-1.3494912062329625E-2</v>
      </c>
      <c r="H565" s="12" cm="1">
        <f t="array" ref="H565">PRODUCT(1+G$2:G565)-1</f>
        <v>2.9849548532223658E-3</v>
      </c>
      <c r="I565">
        <f>H565-MAX(H$2:H565)</f>
        <v>-0.16200981673322934</v>
      </c>
      <c r="L565" s="2">
        <f t="shared" si="33"/>
        <v>0.11234205121481866</v>
      </c>
    </row>
    <row r="566" spans="1:12" x14ac:dyDescent="0.25">
      <c r="A566" s="1">
        <v>44729</v>
      </c>
      <c r="B566">
        <v>365.510009765625</v>
      </c>
      <c r="C566">
        <v>396.95900115966703</v>
      </c>
      <c r="D566">
        <v>411.86699951171801</v>
      </c>
      <c r="E566" t="str">
        <f t="shared" si="30"/>
        <v>Buy</v>
      </c>
      <c r="F566">
        <f t="shared" si="32"/>
        <v>1</v>
      </c>
      <c r="G566">
        <f t="shared" si="31"/>
        <v>1.7455075681519699E-2</v>
      </c>
      <c r="H566" s="12" cm="1">
        <f t="array" ref="H566">PRODUCT(1+G$2:G566)-1</f>
        <v>2.0492133147610891E-2</v>
      </c>
      <c r="I566">
        <f>H566-MAX(H$2:H566)</f>
        <v>-0.14450263843884081</v>
      </c>
      <c r="L566" s="2">
        <f t="shared" si="33"/>
        <v>9.7331093050443337E-2</v>
      </c>
    </row>
    <row r="567" spans="1:12" x14ac:dyDescent="0.25">
      <c r="A567" s="1">
        <v>44733</v>
      </c>
      <c r="B567">
        <v>371.89001464843699</v>
      </c>
      <c r="C567">
        <v>395.89100189208898</v>
      </c>
      <c r="D567">
        <v>410.39299987792901</v>
      </c>
      <c r="E567" t="str">
        <f t="shared" si="30"/>
        <v>Buy</v>
      </c>
      <c r="F567">
        <f t="shared" si="32"/>
        <v>1</v>
      </c>
      <c r="G567">
        <f t="shared" si="31"/>
        <v>-3.4150406873672099E-3</v>
      </c>
      <c r="H567" s="12" cm="1">
        <f t="array" ref="H567">PRODUCT(1+G$2:G567)-1</f>
        <v>1.7007110991773544E-2</v>
      </c>
      <c r="I567">
        <f>H567-MAX(H$2:H567)</f>
        <v>-0.14798766059467816</v>
      </c>
      <c r="L567" s="2">
        <f t="shared" si="33"/>
        <v>0.11648509032732356</v>
      </c>
    </row>
    <row r="568" spans="1:12" x14ac:dyDescent="0.25">
      <c r="A568" s="1">
        <v>44734</v>
      </c>
      <c r="B568">
        <v>370.61999511718699</v>
      </c>
      <c r="C568">
        <v>394.78050231933503</v>
      </c>
      <c r="D568">
        <v>408.845999755859</v>
      </c>
      <c r="E568" t="str">
        <f t="shared" si="30"/>
        <v>Buy</v>
      </c>
      <c r="F568">
        <f t="shared" si="32"/>
        <v>1</v>
      </c>
      <c r="G568">
        <f t="shared" si="31"/>
        <v>1.6243105095683032E-2</v>
      </c>
      <c r="H568" s="12" cm="1">
        <f t="array" ref="H568">PRODUCT(1+G$2:G568)-1</f>
        <v>3.3526464378669907E-2</v>
      </c>
      <c r="I568">
        <f>H568-MAX(H$2:H568)</f>
        <v>-0.1314683072077818</v>
      </c>
      <c r="L568" s="2">
        <f t="shared" si="33"/>
        <v>0.11267224831701689</v>
      </c>
    </row>
    <row r="569" spans="1:12" x14ac:dyDescent="0.25">
      <c r="A569" s="1">
        <v>44735</v>
      </c>
      <c r="B569">
        <v>376.64001464843699</v>
      </c>
      <c r="C569">
        <v>393.98450317382799</v>
      </c>
      <c r="D569">
        <v>407.49660034179601</v>
      </c>
      <c r="E569" t="str">
        <f t="shared" si="30"/>
        <v>Buy</v>
      </c>
      <c r="F569">
        <f t="shared" si="32"/>
        <v>1</v>
      </c>
      <c r="G569">
        <f t="shared" si="31"/>
        <v>1.2638007282603907E-2</v>
      </c>
      <c r="H569" s="12" cm="1">
        <f t="array" ref="H569">PRODUCT(1+G$2:G569)-1</f>
        <v>4.6588179362251569E-2</v>
      </c>
      <c r="I569">
        <f>H569-MAX(H$2:H569)</f>
        <v>-0.11840659222420014</v>
      </c>
      <c r="L569" s="2">
        <f t="shared" si="33"/>
        <v>0.13074550058348011</v>
      </c>
    </row>
    <row r="570" spans="1:12" x14ac:dyDescent="0.25">
      <c r="A570" s="1">
        <v>44736</v>
      </c>
      <c r="B570">
        <v>381.39999389648398</v>
      </c>
      <c r="C570">
        <v>393.43900299072197</v>
      </c>
      <c r="D570">
        <v>406.26300048828102</v>
      </c>
      <c r="E570" t="str">
        <f t="shared" si="30"/>
        <v>Buy</v>
      </c>
      <c r="F570">
        <f t="shared" si="32"/>
        <v>1</v>
      </c>
      <c r="G570">
        <f t="shared" si="31"/>
        <v>2.5301505115134178E-2</v>
      </c>
      <c r="H570" s="12" cm="1">
        <f t="array" ref="H570">PRODUCT(1+G$2:G570)-1</f>
        <v>7.306843553582465E-2</v>
      </c>
      <c r="I570">
        <f>H570-MAX(H$2:H570)</f>
        <v>-9.1926336050627055E-2</v>
      </c>
      <c r="L570" s="2">
        <f t="shared" si="33"/>
        <v>0.14503587045462574</v>
      </c>
    </row>
    <row r="571" spans="1:12" x14ac:dyDescent="0.25">
      <c r="A571" s="1">
        <v>44739</v>
      </c>
      <c r="B571">
        <v>391.04998779296801</v>
      </c>
      <c r="C571">
        <v>393.05800170898402</v>
      </c>
      <c r="D571">
        <v>405.323400268554</v>
      </c>
      <c r="E571" t="str">
        <f t="shared" si="30"/>
        <v>Buy</v>
      </c>
      <c r="F571">
        <f t="shared" si="32"/>
        <v>1</v>
      </c>
      <c r="G571">
        <f t="shared" si="31"/>
        <v>-2.0968593075985894E-3</v>
      </c>
      <c r="H571" s="12" cm="1">
        <f t="array" ref="H571">PRODUCT(1+G$2:G571)-1</f>
        <v>7.0818361999080981E-2</v>
      </c>
      <c r="I571">
        <f>H571-MAX(H$2:H571)</f>
        <v>-9.4176409587370724E-2</v>
      </c>
      <c r="L571" s="2">
        <f t="shared" si="33"/>
        <v>0.17400700138794559</v>
      </c>
    </row>
    <row r="572" spans="1:12" x14ac:dyDescent="0.25">
      <c r="A572" s="1">
        <v>44740</v>
      </c>
      <c r="B572">
        <v>390.23001098632801</v>
      </c>
      <c r="C572">
        <v>392.17400207519501</v>
      </c>
      <c r="D572">
        <v>404.25700073242098</v>
      </c>
      <c r="E572" t="str">
        <f t="shared" si="30"/>
        <v>Buy</v>
      </c>
      <c r="F572">
        <f t="shared" si="32"/>
        <v>1</v>
      </c>
      <c r="G572">
        <f t="shared" si="31"/>
        <v>-2.3063320981520617E-2</v>
      </c>
      <c r="H572" s="12" cm="1">
        <f t="array" ref="H572">PRODUCT(1+G$2:G572)-1</f>
        <v>4.6121734403389958E-2</v>
      </c>
      <c r="I572">
        <f>H572-MAX(H$2:H572)</f>
        <v>-0.11887303718306175</v>
      </c>
      <c r="L572" s="2">
        <f t="shared" si="33"/>
        <v>0.17154527387989935</v>
      </c>
    </row>
    <row r="573" spans="1:12" x14ac:dyDescent="0.25">
      <c r="A573" s="1">
        <v>44741</v>
      </c>
      <c r="B573">
        <v>381.23001098632801</v>
      </c>
      <c r="C573">
        <v>390.55800323486301</v>
      </c>
      <c r="D573">
        <v>403.14540100097599</v>
      </c>
      <c r="E573" t="str">
        <f t="shared" si="30"/>
        <v>Buy</v>
      </c>
      <c r="F573">
        <f t="shared" si="32"/>
        <v>1</v>
      </c>
      <c r="G573">
        <f t="shared" si="31"/>
        <v>-1.3089265294310651E-2</v>
      </c>
      <c r="H573" s="12" cm="1">
        <f t="array" ref="H573">PRODUCT(1+G$2:G573)-1</f>
        <v>3.2428769491639642E-2</v>
      </c>
      <c r="I573">
        <f>H573-MAX(H$2:H573)</f>
        <v>-0.13256600209481206</v>
      </c>
      <c r="L573" s="2">
        <f t="shared" si="33"/>
        <v>0.14452554918402374</v>
      </c>
    </row>
    <row r="574" spans="1:12" x14ac:dyDescent="0.25">
      <c r="A574" s="1">
        <v>44742</v>
      </c>
      <c r="B574">
        <v>376.239990234375</v>
      </c>
      <c r="C574">
        <v>388.61150207519501</v>
      </c>
      <c r="D574">
        <v>401.91300109863198</v>
      </c>
      <c r="E574" t="str">
        <f t="shared" si="30"/>
        <v>Buy</v>
      </c>
      <c r="F574">
        <f t="shared" si="32"/>
        <v>1</v>
      </c>
      <c r="G574">
        <f t="shared" si="31"/>
        <v>8.5054043303229307E-4</v>
      </c>
      <c r="H574" s="12" cm="1">
        <f t="array" ref="H574">PRODUCT(1+G$2:G574)-1</f>
        <v>3.3306891904318014E-2</v>
      </c>
      <c r="I574">
        <f>H574-MAX(H$2:H574)</f>
        <v>-0.13168787968213369</v>
      </c>
      <c r="L574" s="2">
        <f t="shared" si="33"/>
        <v>0.12954455063463746</v>
      </c>
    </row>
    <row r="575" spans="1:12" x14ac:dyDescent="0.25">
      <c r="A575" s="1">
        <v>44743</v>
      </c>
      <c r="B575">
        <v>376.55999755859301</v>
      </c>
      <c r="C575">
        <v>386.96850128173799</v>
      </c>
      <c r="D575">
        <v>400.50580078124898</v>
      </c>
      <c r="E575" t="str">
        <f t="shared" si="30"/>
        <v>Buy</v>
      </c>
      <c r="F575">
        <f t="shared" si="32"/>
        <v>1</v>
      </c>
      <c r="G575">
        <f t="shared" si="31"/>
        <v>-1.8058016788552141E-3</v>
      </c>
      <c r="H575" s="12" cm="1">
        <f t="array" ref="H575">PRODUCT(1+G$2:G575)-1</f>
        <v>3.1440944584144592E-2</v>
      </c>
      <c r="I575">
        <f>H575-MAX(H$2:H575)</f>
        <v>-0.13355382700230711</v>
      </c>
      <c r="L575" s="2">
        <f t="shared" si="33"/>
        <v>0.13050527394586353</v>
      </c>
    </row>
    <row r="576" spans="1:12" x14ac:dyDescent="0.25">
      <c r="A576" s="1">
        <v>44747</v>
      </c>
      <c r="B576">
        <v>375.88000488281199</v>
      </c>
      <c r="C576">
        <v>385.14250183105401</v>
      </c>
      <c r="D576">
        <v>399.05260070800699</v>
      </c>
      <c r="E576" t="str">
        <f t="shared" si="30"/>
        <v>Buy</v>
      </c>
      <c r="F576">
        <f t="shared" si="32"/>
        <v>1</v>
      </c>
      <c r="G576">
        <f t="shared" si="31"/>
        <v>1.6574386473928879E-2</v>
      </c>
      <c r="H576" s="12" cm="1">
        <f t="array" ref="H576">PRODUCT(1+G$2:G576)-1</f>
        <v>4.8536445424716579E-2</v>
      </c>
      <c r="I576">
        <f>H576-MAX(H$2:H576)</f>
        <v>-0.11645832616173513</v>
      </c>
      <c r="L576" s="2">
        <f t="shared" si="33"/>
        <v>0.12846380562421741</v>
      </c>
    </row>
    <row r="577" spans="1:12" x14ac:dyDescent="0.25">
      <c r="A577" s="1">
        <v>44748</v>
      </c>
      <c r="B577">
        <v>382.10998535156199</v>
      </c>
      <c r="C577">
        <v>383.50900115966698</v>
      </c>
      <c r="D577">
        <v>397.95660034179599</v>
      </c>
      <c r="E577" t="str">
        <f t="shared" si="30"/>
        <v>Buy</v>
      </c>
      <c r="F577">
        <f t="shared" si="32"/>
        <v>1</v>
      </c>
      <c r="G577">
        <f t="shared" si="31"/>
        <v>7.8773386747682788E-3</v>
      </c>
      <c r="H577" s="12" cm="1">
        <f t="array" ref="H577">PRODUCT(1+G$2:G577)-1</f>
        <v>5.679612211816476E-2</v>
      </c>
      <c r="I577">
        <f>H577-MAX(H$2:H577)</f>
        <v>-0.10819864946828694</v>
      </c>
      <c r="L577" s="2">
        <f t="shared" si="33"/>
        <v>0.14716740086047375</v>
      </c>
    </row>
    <row r="578" spans="1:12" x14ac:dyDescent="0.25">
      <c r="A578" s="1">
        <v>44749</v>
      </c>
      <c r="B578">
        <v>385.11999511718699</v>
      </c>
      <c r="C578">
        <v>382.36000061035099</v>
      </c>
      <c r="D578">
        <v>397.18559997558498</v>
      </c>
      <c r="E578" t="str">
        <f t="shared" si="30"/>
        <v>Buy</v>
      </c>
      <c r="F578">
        <f t="shared" si="32"/>
        <v>1</v>
      </c>
      <c r="G578">
        <f t="shared" si="31"/>
        <v>5.5826597521373015E-3</v>
      </c>
      <c r="H578" s="12" cm="1">
        <f t="array" ref="H578">PRODUCT(1+G$2:G578)-1</f>
        <v>6.2695855295328728E-2</v>
      </c>
      <c r="I578">
        <f>H578-MAX(H$2:H578)</f>
        <v>-0.10229891629112298</v>
      </c>
      <c r="L578" s="2">
        <f t="shared" si="33"/>
        <v>0.15620402699370536</v>
      </c>
    </row>
    <row r="579" spans="1:12" x14ac:dyDescent="0.25">
      <c r="A579" s="1">
        <v>44750</v>
      </c>
      <c r="B579">
        <v>387.26998901367102</v>
      </c>
      <c r="C579">
        <v>381.02700042724598</v>
      </c>
      <c r="D579">
        <v>396.41440002441402</v>
      </c>
      <c r="E579" t="str">
        <f t="shared" ref="E579:E642" si="34">IF(OR(ISBLANK(C579),ISBLANK(D579),ISBLANK(C580),ISBLANK(D580)), "Hold", IF(AND(C579&gt;C580,C580&lt;=D580), "Buy", IF(AND(C579&lt;C580,C580&gt;=D580), "Sell", "Hold")))</f>
        <v>Buy</v>
      </c>
      <c r="F579">
        <f t="shared" si="32"/>
        <v>1</v>
      </c>
      <c r="G579">
        <f t="shared" ref="G579:G642" si="35">IF(F579=1,(B580-B579)/B579,0)</f>
        <v>-3.6666484634467656E-3</v>
      </c>
      <c r="H579" s="12" cm="1">
        <f t="array" ref="H579">PRODUCT(1+G$2:G579)-1</f>
        <v>5.8799323170398932E-2</v>
      </c>
      <c r="I579">
        <f>H579-MAX(H$2:H579)</f>
        <v>-0.10619544841605277</v>
      </c>
      <c r="L579" s="2">
        <f t="shared" si="33"/>
        <v>0.16265872068046219</v>
      </c>
    </row>
    <row r="580" spans="1:12" x14ac:dyDescent="0.25">
      <c r="A580" s="1">
        <v>44753</v>
      </c>
      <c r="B580">
        <v>385.850006103515</v>
      </c>
      <c r="C580">
        <v>379.852500915527</v>
      </c>
      <c r="D580">
        <v>395.78660034179597</v>
      </c>
      <c r="E580" t="str">
        <f t="shared" si="34"/>
        <v>Buy</v>
      </c>
      <c r="F580">
        <f t="shared" ref="F580:F643" si="36">IF(E580="Buy",1, IF(E580="Sell",0,F579))</f>
        <v>1</v>
      </c>
      <c r="G580">
        <f t="shared" si="35"/>
        <v>-5.7017290973964841E-3</v>
      </c>
      <c r="H580" s="12" cm="1">
        <f t="array" ref="H580">PRODUCT(1+G$2:G580)-1</f>
        <v>5.2762336261174436E-2</v>
      </c>
      <c r="I580">
        <f>H580-MAX(H$2:H580)</f>
        <v>-0.11223243532527727</v>
      </c>
      <c r="L580" s="2">
        <f t="shared" si="33"/>
        <v>0.15839565986876619</v>
      </c>
    </row>
    <row r="581" spans="1:12" x14ac:dyDescent="0.25">
      <c r="A581" s="1">
        <v>44754</v>
      </c>
      <c r="B581">
        <v>383.64999389648398</v>
      </c>
      <c r="C581">
        <v>379.29100036621003</v>
      </c>
      <c r="D581">
        <v>395.01380004882799</v>
      </c>
      <c r="E581" t="str">
        <f t="shared" si="34"/>
        <v>Buy</v>
      </c>
      <c r="F581">
        <f t="shared" si="36"/>
        <v>1</v>
      </c>
      <c r="G581">
        <f t="shared" si="35"/>
        <v>-2.2285906240040045E-2</v>
      </c>
      <c r="H581" s="12" cm="1">
        <f t="array" ref="H581">PRODUCT(1+G$2:G581)-1</f>
        <v>2.9300573542212494E-2</v>
      </c>
      <c r="I581">
        <f>H581-MAX(H$2:H581)</f>
        <v>-0.13569419804423921</v>
      </c>
      <c r="L581" s="2">
        <f t="shared" si="33"/>
        <v>0.15179080162859465</v>
      </c>
    </row>
    <row r="582" spans="1:12" x14ac:dyDescent="0.25">
      <c r="A582" s="1">
        <v>44755</v>
      </c>
      <c r="B582">
        <v>375.100006103515</v>
      </c>
      <c r="C582">
        <v>379.05350036621002</v>
      </c>
      <c r="D582">
        <v>394.04400024414002</v>
      </c>
      <c r="E582" t="str">
        <f t="shared" si="34"/>
        <v>Buy</v>
      </c>
      <c r="F582">
        <f t="shared" si="36"/>
        <v>1</v>
      </c>
      <c r="G582">
        <f t="shared" si="35"/>
        <v>-3.9723293194023988E-3</v>
      </c>
      <c r="H582" s="12" cm="1">
        <f t="array" ref="H582">PRODUCT(1+G$2:G582)-1</f>
        <v>2.5211852695453008E-2</v>
      </c>
      <c r="I582">
        <f>H582-MAX(H$2:H582)</f>
        <v>-0.1397829188909987</v>
      </c>
      <c r="L582" s="2">
        <f t="shared" si="33"/>
        <v>0.12612209981535921</v>
      </c>
    </row>
    <row r="583" spans="1:12" x14ac:dyDescent="0.25">
      <c r="A583" s="1">
        <v>44756</v>
      </c>
      <c r="B583">
        <v>373.60998535156199</v>
      </c>
      <c r="C583">
        <v>378.89149932861301</v>
      </c>
      <c r="D583">
        <v>393.27479980468701</v>
      </c>
      <c r="E583" t="str">
        <f t="shared" si="34"/>
        <v>Hold</v>
      </c>
      <c r="F583">
        <f t="shared" si="36"/>
        <v>1</v>
      </c>
      <c r="G583">
        <f t="shared" si="35"/>
        <v>2.3928703171553621E-2</v>
      </c>
      <c r="H583" s="12" cm="1">
        <f t="array" ref="H583">PRODUCT(1+G$2:G583)-1</f>
        <v>4.9743842806561078E-2</v>
      </c>
      <c r="I583">
        <f>H583-MAX(H$2:H583)</f>
        <v>-0.11525092877989063</v>
      </c>
      <c r="L583" s="2">
        <f t="shared" ref="L583:L646" si="37">(B583-B$134)/B$134</f>
        <v>0.12164877198103567</v>
      </c>
    </row>
    <row r="584" spans="1:12" x14ac:dyDescent="0.25">
      <c r="A584" s="1">
        <v>44757</v>
      </c>
      <c r="B584">
        <v>382.54998779296801</v>
      </c>
      <c r="C584">
        <v>379.150999450683</v>
      </c>
      <c r="D584">
        <v>392.625599365234</v>
      </c>
      <c r="E584" t="str">
        <f t="shared" si="34"/>
        <v>Hold</v>
      </c>
      <c r="F584">
        <f t="shared" si="36"/>
        <v>1</v>
      </c>
      <c r="G584">
        <f t="shared" si="35"/>
        <v>1.5239883089472534E-2</v>
      </c>
      <c r="H584" s="12" cm="1">
        <f t="array" ref="H584">PRODUCT(1+G$2:G584)-1</f>
        <v>6.5741816244826667E-2</v>
      </c>
      <c r="I584">
        <f>H584-MAX(H$2:H584)</f>
        <v>-9.9252955341625038E-2</v>
      </c>
      <c r="L584" s="2">
        <f t="shared" si="37"/>
        <v>0.14848837250850749</v>
      </c>
    </row>
    <row r="585" spans="1:12" x14ac:dyDescent="0.25">
      <c r="A585" s="1">
        <v>44760</v>
      </c>
      <c r="B585">
        <v>388.38000488281199</v>
      </c>
      <c r="C585">
        <v>380.04449920654201</v>
      </c>
      <c r="D585">
        <v>392.05159973144498</v>
      </c>
      <c r="E585" t="str">
        <f t="shared" si="34"/>
        <v>Hold</v>
      </c>
      <c r="F585">
        <f t="shared" si="36"/>
        <v>1</v>
      </c>
      <c r="G585">
        <f t="shared" si="35"/>
        <v>-5.922082191746678E-3</v>
      </c>
      <c r="H585" s="12" cm="1">
        <f t="array" ref="H585">PRODUCT(1+G$2:G585)-1</f>
        <v>5.9430405613843273E-2</v>
      </c>
      <c r="I585">
        <f>H585-MAX(H$2:H585)</f>
        <v>-0.10556436597260843</v>
      </c>
      <c r="L585" s="2">
        <f t="shared" si="37"/>
        <v>0.16599120103515574</v>
      </c>
    </row>
    <row r="586" spans="1:12" x14ac:dyDescent="0.25">
      <c r="A586" s="1">
        <v>44761</v>
      </c>
      <c r="B586">
        <v>386.079986572265</v>
      </c>
      <c r="C586">
        <v>381.07299804687398</v>
      </c>
      <c r="D586">
        <v>391.282199707031</v>
      </c>
      <c r="E586" t="str">
        <f t="shared" si="34"/>
        <v>Hold</v>
      </c>
      <c r="F586">
        <f t="shared" si="36"/>
        <v>1</v>
      </c>
      <c r="G586">
        <f t="shared" si="35"/>
        <v>1.6551012408517977E-2</v>
      </c>
      <c r="H586" s="12" cm="1">
        <f t="array" ref="H586">PRODUCT(1+G$2:G586)-1</f>
        <v>7.6965051403119267E-2</v>
      </c>
      <c r="I586">
        <f>H586-MAX(H$2:H586)</f>
        <v>-8.8029720183332438E-2</v>
      </c>
      <c r="L586" s="2">
        <f t="shared" si="37"/>
        <v>0.15908610530777212</v>
      </c>
    </row>
    <row r="587" spans="1:12" x14ac:dyDescent="0.25">
      <c r="A587" s="1">
        <v>44762</v>
      </c>
      <c r="B587">
        <v>392.47000122070301</v>
      </c>
      <c r="C587">
        <v>382.101997375488</v>
      </c>
      <c r="D587">
        <v>390.90959960937403</v>
      </c>
      <c r="E587" t="str">
        <f t="shared" si="34"/>
        <v>Hold</v>
      </c>
      <c r="F587">
        <f t="shared" si="36"/>
        <v>1</v>
      </c>
      <c r="G587">
        <f t="shared" si="35"/>
        <v>4.3060678170294183E-3</v>
      </c>
      <c r="H587" s="12" cm="1">
        <f t="array" ref="H587">PRODUCT(1+G$2:G587)-1</f>
        <v>8.1602535951031729E-2</v>
      </c>
      <c r="I587">
        <f>H587-MAX(H$2:H587)</f>
        <v>-8.3392235635419976E-2</v>
      </c>
      <c r="L587" s="2">
        <f t="shared" si="37"/>
        <v>0.17827015381926184</v>
      </c>
    </row>
    <row r="588" spans="1:12" x14ac:dyDescent="0.25">
      <c r="A588" s="1">
        <v>44763</v>
      </c>
      <c r="B588">
        <v>394.16000366210898</v>
      </c>
      <c r="C588">
        <v>383.27899780273401</v>
      </c>
      <c r="D588">
        <v>390.690799560546</v>
      </c>
      <c r="E588" t="str">
        <f t="shared" si="34"/>
        <v>Hold</v>
      </c>
      <c r="F588">
        <f t="shared" si="36"/>
        <v>1</v>
      </c>
      <c r="G588">
        <f t="shared" si="35"/>
        <v>1.2076338850720852E-2</v>
      </c>
      <c r="H588" s="12" cm="1">
        <f t="array" ref="H588">PRODUCT(1+G$2:G588)-1</f>
        <v>9.4664334676975326E-2</v>
      </c>
      <c r="I588">
        <f>H588-MAX(H$2:H588)</f>
        <v>-7.0330436909476379E-2</v>
      </c>
      <c r="L588" s="2">
        <f t="shared" si="37"/>
        <v>0.18334386500838926</v>
      </c>
    </row>
    <row r="589" spans="1:12" x14ac:dyDescent="0.25">
      <c r="A589" s="1">
        <v>44764</v>
      </c>
      <c r="B589">
        <v>398.92001342773398</v>
      </c>
      <c r="C589">
        <v>384.39299774169899</v>
      </c>
      <c r="D589">
        <v>390.57940002441399</v>
      </c>
      <c r="E589" t="str">
        <f t="shared" si="34"/>
        <v>Hold</v>
      </c>
      <c r="F589">
        <f t="shared" si="36"/>
        <v>1</v>
      </c>
      <c r="G589">
        <f t="shared" si="35"/>
        <v>-7.9464888223970704E-3</v>
      </c>
      <c r="H589" s="12" cm="1">
        <f t="array" ref="H589">PRODUCT(1+G$2:G589)-1</f>
        <v>8.5965596777187958E-2</v>
      </c>
      <c r="I589">
        <f>H589-MAX(H$2:H589)</f>
        <v>-7.9029174809263747E-2</v>
      </c>
      <c r="L589" s="2">
        <f t="shared" si="37"/>
        <v>0.19763432649915225</v>
      </c>
    </row>
    <row r="590" spans="1:12" x14ac:dyDescent="0.25">
      <c r="A590" s="1">
        <v>44767</v>
      </c>
      <c r="B590">
        <v>395.75</v>
      </c>
      <c r="C590">
        <v>385.110498046874</v>
      </c>
      <c r="D590">
        <v>390.532999877929</v>
      </c>
      <c r="E590" t="str">
        <f t="shared" si="34"/>
        <v>Hold</v>
      </c>
      <c r="F590">
        <f t="shared" si="36"/>
        <v>1</v>
      </c>
      <c r="G590">
        <f t="shared" si="35"/>
        <v>-4.8262884702716365E-3</v>
      </c>
      <c r="H590" s="12" cm="1">
        <f t="array" ref="H590">PRODUCT(1+G$2:G590)-1</f>
        <v>8.072441353835047E-2</v>
      </c>
      <c r="I590">
        <f>H590-MAX(H$2:H590)</f>
        <v>-8.4270358048101235E-2</v>
      </c>
      <c r="L590" s="2">
        <f t="shared" si="37"/>
        <v>0.1881173387103077</v>
      </c>
    </row>
    <row r="591" spans="1:12" x14ac:dyDescent="0.25">
      <c r="A591" s="1">
        <v>44768</v>
      </c>
      <c r="B591">
        <v>393.83999633789</v>
      </c>
      <c r="C591">
        <v>385.24999847412101</v>
      </c>
      <c r="D591">
        <v>390.62239990234298</v>
      </c>
      <c r="E591" t="str">
        <f t="shared" si="34"/>
        <v>Hold</v>
      </c>
      <c r="F591">
        <f t="shared" si="36"/>
        <v>1</v>
      </c>
      <c r="G591">
        <f t="shared" si="35"/>
        <v>1.3203052470726481E-3</v>
      </c>
      <c r="H591" s="12" cm="1">
        <f t="array" ref="H591">PRODUCT(1+G$2:G591)-1</f>
        <v>8.2151299652184706E-2</v>
      </c>
      <c r="I591">
        <f>H591-MAX(H$2:H591)</f>
        <v>-8.2843471934266999E-2</v>
      </c>
      <c r="L591" s="2">
        <f t="shared" si="37"/>
        <v>0.1823831416971603</v>
      </c>
    </row>
    <row r="592" spans="1:12" x14ac:dyDescent="0.25">
      <c r="A592" s="1">
        <v>44769</v>
      </c>
      <c r="B592">
        <v>394.35998535156199</v>
      </c>
      <c r="C592">
        <v>385.45649719238202</v>
      </c>
      <c r="D592">
        <v>390.57539978027302</v>
      </c>
      <c r="E592" t="str">
        <f t="shared" si="34"/>
        <v>Hold</v>
      </c>
      <c r="F592">
        <f t="shared" si="36"/>
        <v>1</v>
      </c>
      <c r="G592">
        <f t="shared" si="35"/>
        <v>1.9094303622519331E-2</v>
      </c>
      <c r="H592" s="12" cm="1">
        <f t="array" ref="H592">PRODUCT(1+G$2:G592)-1</f>
        <v>0.10281422513324734</v>
      </c>
      <c r="I592">
        <f>H592-MAX(H$2:H592)</f>
        <v>-6.2180546453204366E-2</v>
      </c>
      <c r="L592" s="2">
        <f t="shared" si="37"/>
        <v>0.18394424836319331</v>
      </c>
    </row>
    <row r="593" spans="1:12" x14ac:dyDescent="0.25">
      <c r="A593" s="1">
        <v>44770</v>
      </c>
      <c r="B593">
        <v>401.89001464843699</v>
      </c>
      <c r="C593">
        <v>386.48949737548799</v>
      </c>
      <c r="D593">
        <v>390.61359985351498</v>
      </c>
      <c r="E593" t="str">
        <f t="shared" si="34"/>
        <v>Hold</v>
      </c>
      <c r="F593">
        <f t="shared" si="36"/>
        <v>1</v>
      </c>
      <c r="G593">
        <f t="shared" si="35"/>
        <v>1.4158032587113298E-2</v>
      </c>
      <c r="H593" s="12" cm="1">
        <f t="array" ref="H593">PRODUCT(1+G$2:G593)-1</f>
        <v>0.11842790487021593</v>
      </c>
      <c r="I593">
        <f>H593-MAX(H$2:H593)</f>
        <v>-4.6566866716235777E-2</v>
      </c>
      <c r="L593" s="2">
        <f t="shared" si="37"/>
        <v>0.20655083931357557</v>
      </c>
    </row>
    <row r="594" spans="1:12" x14ac:dyDescent="0.25">
      <c r="A594" s="1">
        <v>44771</v>
      </c>
      <c r="B594">
        <v>407.579986572265</v>
      </c>
      <c r="C594">
        <v>388.05649719238198</v>
      </c>
      <c r="D594">
        <v>390.63459960937399</v>
      </c>
      <c r="E594" t="str">
        <f t="shared" si="34"/>
        <v>Hold</v>
      </c>
      <c r="F594">
        <f t="shared" si="36"/>
        <v>1</v>
      </c>
      <c r="G594">
        <f t="shared" si="35"/>
        <v>3.8520226113717949E-3</v>
      </c>
      <c r="H594" s="12" cm="1">
        <f t="array" ref="H594">PRODUCT(1+G$2:G594)-1</f>
        <v>0.12273611444896515</v>
      </c>
      <c r="I594">
        <f>H594-MAX(H$2:H594)</f>
        <v>-4.2258657137486555E-2</v>
      </c>
      <c r="L594" s="2">
        <f t="shared" si="37"/>
        <v>0.22363322541458605</v>
      </c>
    </row>
    <row r="595" spans="1:12" x14ac:dyDescent="0.25">
      <c r="A595" s="1">
        <v>44774</v>
      </c>
      <c r="B595">
        <v>409.14999389648398</v>
      </c>
      <c r="C595">
        <v>389.685997009277</v>
      </c>
      <c r="D595">
        <v>390.747599487304</v>
      </c>
      <c r="E595" t="str">
        <f t="shared" si="34"/>
        <v>Sell</v>
      </c>
      <c r="F595">
        <f t="shared" si="36"/>
        <v>0</v>
      </c>
      <c r="G595">
        <f t="shared" si="35"/>
        <v>0</v>
      </c>
      <c r="H595" s="12" cm="1">
        <f t="array" ref="H595">PRODUCT(1+G$2:G595)-1</f>
        <v>0.12273611444896515</v>
      </c>
      <c r="I595">
        <f>H595-MAX(H$2:H595)</f>
        <v>-4.2258657137486555E-2</v>
      </c>
      <c r="L595" s="2">
        <f t="shared" si="37"/>
        <v>0.22834668826690885</v>
      </c>
    </row>
    <row r="596" spans="1:12" x14ac:dyDescent="0.25">
      <c r="A596" s="1">
        <v>44775</v>
      </c>
      <c r="B596">
        <v>409.11999511718699</v>
      </c>
      <c r="C596">
        <v>391.34799652099599</v>
      </c>
      <c r="D596">
        <v>391.15759948730403</v>
      </c>
      <c r="E596" t="str">
        <f t="shared" si="34"/>
        <v>Sell</v>
      </c>
      <c r="F596">
        <f t="shared" si="36"/>
        <v>0</v>
      </c>
      <c r="G596">
        <f t="shared" si="35"/>
        <v>0</v>
      </c>
      <c r="H596" s="12" cm="1">
        <f t="array" ref="H596">PRODUCT(1+G$2:G596)-1</f>
        <v>0.12273611444896515</v>
      </c>
      <c r="I596">
        <f>H596-MAX(H$2:H596)</f>
        <v>-4.2258657137486555E-2</v>
      </c>
      <c r="L596" s="2">
        <f t="shared" si="37"/>
        <v>0.22825662618270695</v>
      </c>
    </row>
    <row r="597" spans="1:12" x14ac:dyDescent="0.25">
      <c r="A597" s="1">
        <v>44776</v>
      </c>
      <c r="B597">
        <v>410.29998779296801</v>
      </c>
      <c r="C597">
        <v>392.75749664306602</v>
      </c>
      <c r="D597">
        <v>391.49859924316399</v>
      </c>
      <c r="E597" t="str">
        <f t="shared" si="34"/>
        <v>Sell</v>
      </c>
      <c r="F597">
        <f t="shared" si="36"/>
        <v>0</v>
      </c>
      <c r="G597">
        <f t="shared" si="35"/>
        <v>0</v>
      </c>
      <c r="H597" s="12" cm="1">
        <f t="array" ref="H597">PRODUCT(1+G$2:G597)-1</f>
        <v>0.12273611444896515</v>
      </c>
      <c r="I597">
        <f>H597-MAX(H$2:H597)</f>
        <v>-4.2258657137486555E-2</v>
      </c>
      <c r="L597" s="2">
        <f t="shared" si="37"/>
        <v>0.2317991903207906</v>
      </c>
    </row>
    <row r="598" spans="1:12" x14ac:dyDescent="0.25">
      <c r="A598" s="1">
        <v>44777</v>
      </c>
      <c r="B598">
        <v>414.36999511718699</v>
      </c>
      <c r="C598">
        <v>394.219996643066</v>
      </c>
      <c r="D598">
        <v>391.929399414062</v>
      </c>
      <c r="E598" t="str">
        <f t="shared" si="34"/>
        <v>Sell</v>
      </c>
      <c r="F598">
        <f t="shared" si="36"/>
        <v>0</v>
      </c>
      <c r="G598">
        <f t="shared" si="35"/>
        <v>0</v>
      </c>
      <c r="H598" s="12" cm="1">
        <f t="array" ref="H598">PRODUCT(1+G$2:G598)-1</f>
        <v>0.12273611444896515</v>
      </c>
      <c r="I598">
        <f>H598-MAX(H$2:H598)</f>
        <v>-4.2258657137486555E-2</v>
      </c>
      <c r="L598" s="2">
        <f t="shared" si="37"/>
        <v>0.24401813225530106</v>
      </c>
    </row>
    <row r="599" spans="1:12" x14ac:dyDescent="0.25">
      <c r="A599" s="1">
        <v>44778</v>
      </c>
      <c r="B599">
        <v>409.66000366210898</v>
      </c>
      <c r="C599">
        <v>395.33949737548801</v>
      </c>
      <c r="D599">
        <v>392.27139953613198</v>
      </c>
      <c r="E599" t="str">
        <f t="shared" si="34"/>
        <v>Sell</v>
      </c>
      <c r="F599">
        <f t="shared" si="36"/>
        <v>0</v>
      </c>
      <c r="G599">
        <f t="shared" si="35"/>
        <v>0</v>
      </c>
      <c r="H599" s="12" cm="1">
        <f t="array" ref="H599">PRODUCT(1+G$2:G599)-1</f>
        <v>0.12273611444896515</v>
      </c>
      <c r="I599">
        <f>H599-MAX(H$2:H599)</f>
        <v>-4.2258657137486555E-2</v>
      </c>
      <c r="L599" s="2">
        <f t="shared" si="37"/>
        <v>0.22987783531795281</v>
      </c>
    </row>
    <row r="600" spans="1:12" x14ac:dyDescent="0.25">
      <c r="A600" s="1">
        <v>44781</v>
      </c>
      <c r="B600">
        <v>415.25</v>
      </c>
      <c r="C600">
        <v>396.80949707031198</v>
      </c>
      <c r="D600">
        <v>392.73019958496002</v>
      </c>
      <c r="E600" t="str">
        <f t="shared" si="34"/>
        <v>Sell</v>
      </c>
      <c r="F600">
        <f t="shared" si="36"/>
        <v>0</v>
      </c>
      <c r="G600">
        <f t="shared" si="35"/>
        <v>0</v>
      </c>
      <c r="H600" s="12" cm="1">
        <f t="array" ref="H600">PRODUCT(1+G$2:G600)-1</f>
        <v>0.12273611444896515</v>
      </c>
      <c r="I600">
        <f>H600-MAX(H$2:H600)</f>
        <v>-4.2258657137486555E-2</v>
      </c>
      <c r="L600" s="2">
        <f t="shared" si="37"/>
        <v>0.24666007555137148</v>
      </c>
    </row>
    <row r="601" spans="1:12" x14ac:dyDescent="0.25">
      <c r="A601" s="1">
        <v>44782</v>
      </c>
      <c r="B601">
        <v>412.22000122070301</v>
      </c>
      <c r="C601">
        <v>398.23799743652302</v>
      </c>
      <c r="D601">
        <v>393.00119934081999</v>
      </c>
      <c r="E601" t="str">
        <f t="shared" si="34"/>
        <v>Sell</v>
      </c>
      <c r="F601">
        <f t="shared" si="36"/>
        <v>0</v>
      </c>
      <c r="G601">
        <f t="shared" si="35"/>
        <v>0</v>
      </c>
      <c r="H601" s="12" cm="1">
        <f t="array" ref="H601">PRODUCT(1+G$2:G601)-1</f>
        <v>0.12273611444896515</v>
      </c>
      <c r="I601">
        <f>H601-MAX(H$2:H601)</f>
        <v>-4.2258657137486555E-2</v>
      </c>
      <c r="L601" s="2">
        <f t="shared" si="37"/>
        <v>0.23756343856854439</v>
      </c>
    </row>
    <row r="602" spans="1:12" x14ac:dyDescent="0.25">
      <c r="A602" s="1">
        <v>44783</v>
      </c>
      <c r="B602">
        <v>418.77999877929602</v>
      </c>
      <c r="C602">
        <v>400.42199707031199</v>
      </c>
      <c r="D602">
        <v>393.21859924316402</v>
      </c>
      <c r="E602" t="str">
        <f t="shared" si="34"/>
        <v>Sell</v>
      </c>
      <c r="F602">
        <f t="shared" si="36"/>
        <v>0</v>
      </c>
      <c r="G602">
        <f t="shared" si="35"/>
        <v>0</v>
      </c>
      <c r="H602" s="12" cm="1">
        <f t="array" ref="H602">PRODUCT(1+G$2:G602)-1</f>
        <v>0.12273611444896515</v>
      </c>
      <c r="I602">
        <f>H602-MAX(H$2:H602)</f>
        <v>-4.2258657137486555E-2</v>
      </c>
      <c r="L602" s="2">
        <f t="shared" si="37"/>
        <v>0.25725780835063322</v>
      </c>
    </row>
    <row r="603" spans="1:12" x14ac:dyDescent="0.25">
      <c r="A603" s="1">
        <v>44784</v>
      </c>
      <c r="B603">
        <v>422.989990234375</v>
      </c>
      <c r="C603">
        <v>402.89099731445299</v>
      </c>
      <c r="D603">
        <v>393.40739929199202</v>
      </c>
      <c r="E603" t="str">
        <f t="shared" si="34"/>
        <v>Sell</v>
      </c>
      <c r="F603">
        <f t="shared" si="36"/>
        <v>0</v>
      </c>
      <c r="G603">
        <f t="shared" si="35"/>
        <v>0</v>
      </c>
      <c r="H603" s="12" cm="1">
        <f t="array" ref="H603">PRODUCT(1+G$2:G603)-1</f>
        <v>0.12273611444896515</v>
      </c>
      <c r="I603">
        <f>H603-MAX(H$2:H603)</f>
        <v>-4.2258657137486555E-2</v>
      </c>
      <c r="L603" s="2">
        <f t="shared" si="37"/>
        <v>0.26989700947154682</v>
      </c>
    </row>
    <row r="604" spans="1:12" x14ac:dyDescent="0.25">
      <c r="A604" s="1">
        <v>44785</v>
      </c>
      <c r="B604">
        <v>422.02999877929602</v>
      </c>
      <c r="C604">
        <v>404.86499786376902</v>
      </c>
      <c r="D604">
        <v>393.54459899902298</v>
      </c>
      <c r="E604" t="str">
        <f t="shared" si="34"/>
        <v>Sell</v>
      </c>
      <c r="F604">
        <f t="shared" si="36"/>
        <v>0</v>
      </c>
      <c r="G604">
        <f t="shared" si="35"/>
        <v>0</v>
      </c>
      <c r="H604" s="12" cm="1">
        <f t="array" ref="H604">PRODUCT(1+G$2:G604)-1</f>
        <v>0.12273611444896515</v>
      </c>
      <c r="I604">
        <f>H604-MAX(H$2:H604)</f>
        <v>-4.2258657137486555E-2</v>
      </c>
      <c r="L604" s="2">
        <f t="shared" si="37"/>
        <v>0.26701493115747715</v>
      </c>
    </row>
    <row r="605" spans="1:12" x14ac:dyDescent="0.25">
      <c r="A605" s="1">
        <v>44788</v>
      </c>
      <c r="B605">
        <v>424.76998901367102</v>
      </c>
      <c r="C605">
        <v>406.68449707031198</v>
      </c>
      <c r="D605">
        <v>393.85159851074201</v>
      </c>
      <c r="E605" t="str">
        <f t="shared" si="34"/>
        <v>Sell</v>
      </c>
      <c r="F605">
        <f t="shared" si="36"/>
        <v>0</v>
      </c>
      <c r="G605">
        <f t="shared" si="35"/>
        <v>0</v>
      </c>
      <c r="H605" s="12" cm="1">
        <f t="array" ref="H605">PRODUCT(1+G$2:G605)-1</f>
        <v>0.12273611444896515</v>
      </c>
      <c r="I605">
        <f>H605-MAX(H$2:H605)</f>
        <v>-4.2258657137486555E-2</v>
      </c>
      <c r="L605" s="2">
        <f t="shared" si="37"/>
        <v>0.27524090691327718</v>
      </c>
    </row>
    <row r="606" spans="1:12" x14ac:dyDescent="0.25">
      <c r="A606" s="1">
        <v>44789</v>
      </c>
      <c r="B606">
        <v>427.73001098632801</v>
      </c>
      <c r="C606">
        <v>408.766998291015</v>
      </c>
      <c r="D606">
        <v>394.15819885253899</v>
      </c>
      <c r="E606" t="str">
        <f t="shared" si="34"/>
        <v>Sell</v>
      </c>
      <c r="F606">
        <f t="shared" si="36"/>
        <v>0</v>
      </c>
      <c r="G606">
        <f t="shared" si="35"/>
        <v>0</v>
      </c>
      <c r="H606" s="12" cm="1">
        <f t="array" ref="H606">PRODUCT(1+G$2:G606)-1</f>
        <v>0.12273611444896515</v>
      </c>
      <c r="I606">
        <f>H606-MAX(H$2:H606)</f>
        <v>-4.2258657137486555E-2</v>
      </c>
      <c r="L606" s="2">
        <f t="shared" si="37"/>
        <v>0.28412746011271434</v>
      </c>
    </row>
    <row r="607" spans="1:12" x14ac:dyDescent="0.25">
      <c r="A607" s="1">
        <v>44790</v>
      </c>
      <c r="B607">
        <v>425.91000366210898</v>
      </c>
      <c r="C607">
        <v>410.43899841308502</v>
      </c>
      <c r="D607">
        <v>394.38079895019501</v>
      </c>
      <c r="E607" t="str">
        <f t="shared" si="34"/>
        <v>Sell</v>
      </c>
      <c r="F607">
        <f t="shared" si="36"/>
        <v>0</v>
      </c>
      <c r="G607">
        <f t="shared" si="35"/>
        <v>0</v>
      </c>
      <c r="H607" s="12" cm="1">
        <f t="array" ref="H607">PRODUCT(1+G$2:G607)-1</f>
        <v>0.12273611444896515</v>
      </c>
      <c r="I607">
        <f>H607-MAX(H$2:H607)</f>
        <v>-4.2258657137486555E-2</v>
      </c>
      <c r="L607" s="2">
        <f t="shared" si="37"/>
        <v>0.27866344935217263</v>
      </c>
    </row>
    <row r="608" spans="1:12" x14ac:dyDescent="0.25">
      <c r="A608" s="1">
        <v>44791</v>
      </c>
      <c r="B608">
        <v>426.85998535156199</v>
      </c>
      <c r="C608">
        <v>412.07399749755803</v>
      </c>
      <c r="D608">
        <v>394.75599853515598</v>
      </c>
      <c r="E608" t="str">
        <f t="shared" si="34"/>
        <v>Sell</v>
      </c>
      <c r="F608">
        <f t="shared" si="36"/>
        <v>0</v>
      </c>
      <c r="G608">
        <f t="shared" si="35"/>
        <v>0</v>
      </c>
      <c r="H608" s="12" cm="1">
        <f t="array" ref="H608">PRODUCT(1+G$2:G608)-1</f>
        <v>0.12273611444896515</v>
      </c>
      <c r="I608">
        <f>H608-MAX(H$2:H608)</f>
        <v>-4.2258657137486555E-2</v>
      </c>
      <c r="L608" s="2">
        <f t="shared" si="37"/>
        <v>0.28151547643163299</v>
      </c>
    </row>
    <row r="609" spans="1:12" x14ac:dyDescent="0.25">
      <c r="A609" s="1">
        <v>44792</v>
      </c>
      <c r="B609">
        <v>424.98001098632801</v>
      </c>
      <c r="C609">
        <v>413.37699737548797</v>
      </c>
      <c r="D609">
        <v>394.97699890136698</v>
      </c>
      <c r="E609" t="str">
        <f t="shared" si="34"/>
        <v>Sell</v>
      </c>
      <c r="F609">
        <f t="shared" si="36"/>
        <v>0</v>
      </c>
      <c r="G609">
        <f t="shared" si="35"/>
        <v>0</v>
      </c>
      <c r="H609" s="12" cm="1">
        <f t="array" ref="H609">PRODUCT(1+G$2:G609)-1</f>
        <v>0.12273611444896515</v>
      </c>
      <c r="I609">
        <f>H609-MAX(H$2:H609)</f>
        <v>-4.2258657137486555E-2</v>
      </c>
      <c r="L609" s="2">
        <f t="shared" si="37"/>
        <v>0.27587143312230794</v>
      </c>
    </row>
    <row r="610" spans="1:12" x14ac:dyDescent="0.25">
      <c r="A610" s="1">
        <v>44795</v>
      </c>
      <c r="B610">
        <v>417.04998779296801</v>
      </c>
      <c r="C610">
        <v>414.44199676513603</v>
      </c>
      <c r="D610">
        <v>395.13119873046799</v>
      </c>
      <c r="E610" t="str">
        <f t="shared" si="34"/>
        <v>Sell</v>
      </c>
      <c r="F610">
        <f t="shared" si="36"/>
        <v>0</v>
      </c>
      <c r="G610">
        <f t="shared" si="35"/>
        <v>0</v>
      </c>
      <c r="H610" s="12" cm="1">
        <f t="array" ref="H610">PRODUCT(1+G$2:G610)-1</f>
        <v>0.12273611444896515</v>
      </c>
      <c r="I610">
        <f>H610-MAX(H$2:H610)</f>
        <v>-4.2258657137486555E-2</v>
      </c>
      <c r="L610" s="2">
        <f t="shared" si="37"/>
        <v>0.25206398384269729</v>
      </c>
    </row>
    <row r="611" spans="1:12" x14ac:dyDescent="0.25">
      <c r="A611" s="1">
        <v>44796</v>
      </c>
      <c r="B611">
        <v>412.89999389648398</v>
      </c>
      <c r="C611">
        <v>415.39499664306601</v>
      </c>
      <c r="D611">
        <v>395.49159851074199</v>
      </c>
      <c r="E611" t="str">
        <f t="shared" si="34"/>
        <v>Sell</v>
      </c>
      <c r="F611">
        <f t="shared" si="36"/>
        <v>0</v>
      </c>
      <c r="G611">
        <f t="shared" si="35"/>
        <v>0</v>
      </c>
      <c r="H611" s="12" cm="1">
        <f t="array" ref="H611">PRODUCT(1+G$2:G611)-1</f>
        <v>0.12273611444896515</v>
      </c>
      <c r="I611">
        <f>H611-MAX(H$2:H611)</f>
        <v>-4.2258657137486555E-2</v>
      </c>
      <c r="L611" s="2">
        <f t="shared" si="37"/>
        <v>0.23960490689019034</v>
      </c>
    </row>
    <row r="612" spans="1:12" x14ac:dyDescent="0.25">
      <c r="A612" s="1">
        <v>44797</v>
      </c>
      <c r="B612">
        <v>412.10998535156199</v>
      </c>
      <c r="C612">
        <v>416.282496643066</v>
      </c>
      <c r="D612">
        <v>396.136798095703</v>
      </c>
      <c r="E612" t="str">
        <f t="shared" si="34"/>
        <v>Sell</v>
      </c>
      <c r="F612">
        <f t="shared" si="36"/>
        <v>0</v>
      </c>
      <c r="G612">
        <f t="shared" si="35"/>
        <v>0</v>
      </c>
      <c r="H612" s="12" cm="1">
        <f t="array" ref="H612">PRODUCT(1+G$2:G612)-1</f>
        <v>0.12273611444896515</v>
      </c>
      <c r="I612">
        <f>H612-MAX(H$2:H612)</f>
        <v>-4.2258657137486555E-2</v>
      </c>
      <c r="L612" s="2">
        <f t="shared" si="37"/>
        <v>0.23723314984672575</v>
      </c>
    </row>
    <row r="613" spans="1:12" x14ac:dyDescent="0.25">
      <c r="A613" s="1">
        <v>44798</v>
      </c>
      <c r="B613">
        <v>415.239990234375</v>
      </c>
      <c r="C613">
        <v>416.94999542236297</v>
      </c>
      <c r="D613">
        <v>396.90459777832001</v>
      </c>
      <c r="E613" t="str">
        <f t="shared" si="34"/>
        <v>Sell</v>
      </c>
      <c r="F613">
        <f t="shared" si="36"/>
        <v>0</v>
      </c>
      <c r="G613">
        <f t="shared" si="35"/>
        <v>0</v>
      </c>
      <c r="H613" s="12" cm="1">
        <f t="array" ref="H613">PRODUCT(1+G$2:G613)-1</f>
        <v>0.12273611444896515</v>
      </c>
      <c r="I613">
        <f>H613-MAX(H$2:H613)</f>
        <v>-4.2258657137486555E-2</v>
      </c>
      <c r="L613" s="2">
        <f t="shared" si="37"/>
        <v>0.24663002431676506</v>
      </c>
    </row>
    <row r="614" spans="1:12" x14ac:dyDescent="0.25">
      <c r="A614" s="1">
        <v>44799</v>
      </c>
      <c r="B614">
        <v>419.39001464843699</v>
      </c>
      <c r="C614">
        <v>417.54049682617102</v>
      </c>
      <c r="D614">
        <v>397.74519836425702</v>
      </c>
      <c r="E614" t="str">
        <f t="shared" si="34"/>
        <v>Hold</v>
      </c>
      <c r="F614">
        <f t="shared" si="36"/>
        <v>0</v>
      </c>
      <c r="G614">
        <f t="shared" si="35"/>
        <v>0</v>
      </c>
      <c r="H614" s="12" cm="1">
        <f t="array" ref="H614">PRODUCT(1+G$2:G614)-1</f>
        <v>0.12273611444896515</v>
      </c>
      <c r="I614">
        <f>H614-MAX(H$2:H614)</f>
        <v>-4.2258657137486555E-2</v>
      </c>
      <c r="L614" s="2">
        <f t="shared" si="37"/>
        <v>0.25908919288888921</v>
      </c>
    </row>
    <row r="615" spans="1:12" x14ac:dyDescent="0.25">
      <c r="A615" s="1">
        <v>44802</v>
      </c>
      <c r="B615">
        <v>402.20001220703102</v>
      </c>
      <c r="C615">
        <v>417.192997741699</v>
      </c>
      <c r="D615">
        <v>398.37899841308501</v>
      </c>
      <c r="E615" t="str">
        <f t="shared" si="34"/>
        <v>Hold</v>
      </c>
      <c r="F615">
        <f t="shared" si="36"/>
        <v>0</v>
      </c>
      <c r="G615">
        <f t="shared" si="35"/>
        <v>0</v>
      </c>
      <c r="H615" s="12" cm="1">
        <f t="array" ref="H615">PRODUCT(1+G$2:G615)-1</f>
        <v>0.12273611444896515</v>
      </c>
      <c r="I615">
        <f>H615-MAX(H$2:H615)</f>
        <v>-4.2258657137486555E-2</v>
      </c>
      <c r="L615" s="2">
        <f t="shared" si="37"/>
        <v>0.20748151139019827</v>
      </c>
    </row>
    <row r="616" spans="1:12" x14ac:dyDescent="0.25">
      <c r="A616" s="1">
        <v>44803</v>
      </c>
      <c r="B616">
        <v>403.850006103515</v>
      </c>
      <c r="C616">
        <v>416.92949829101502</v>
      </c>
      <c r="D616">
        <v>399.145798339843</v>
      </c>
      <c r="E616" t="str">
        <f t="shared" si="34"/>
        <v>Hold</v>
      </c>
      <c r="F616">
        <f t="shared" si="36"/>
        <v>0</v>
      </c>
      <c r="G616">
        <f t="shared" si="35"/>
        <v>0</v>
      </c>
      <c r="H616" s="12" cm="1">
        <f t="array" ref="H616">PRODUCT(1+G$2:G616)-1</f>
        <v>0.12273611444896515</v>
      </c>
      <c r="I616">
        <f>H616-MAX(H$2:H616)</f>
        <v>-4.2258657137486555E-2</v>
      </c>
      <c r="L616" s="2">
        <f t="shared" si="37"/>
        <v>0.2124351092605174</v>
      </c>
    </row>
    <row r="617" spans="1:12" x14ac:dyDescent="0.25">
      <c r="A617" s="1">
        <v>44804</v>
      </c>
      <c r="B617">
        <v>399.92999267578102</v>
      </c>
      <c r="C617">
        <v>416.41099853515601</v>
      </c>
      <c r="D617">
        <v>399.70659790039002</v>
      </c>
      <c r="E617" t="str">
        <f t="shared" si="34"/>
        <v>Hold</v>
      </c>
      <c r="F617">
        <f t="shared" si="36"/>
        <v>0</v>
      </c>
      <c r="G617">
        <f t="shared" si="35"/>
        <v>0</v>
      </c>
      <c r="H617" s="12" cm="1">
        <f t="array" ref="H617">PRODUCT(1+G$2:G617)-1</f>
        <v>0.12273611444896515</v>
      </c>
      <c r="I617">
        <f>H617-MAX(H$2:H617)</f>
        <v>-4.2258657137486555E-2</v>
      </c>
      <c r="L617" s="2">
        <f t="shared" si="37"/>
        <v>0.20066647774701654</v>
      </c>
    </row>
    <row r="618" spans="1:12" x14ac:dyDescent="0.25">
      <c r="A618" s="1">
        <v>44805</v>
      </c>
      <c r="B618">
        <v>392.89001464843699</v>
      </c>
      <c r="C618">
        <v>415.33699951171798</v>
      </c>
      <c r="D618">
        <v>400.15199829101499</v>
      </c>
      <c r="E618" t="str">
        <f t="shared" si="34"/>
        <v>Hold</v>
      </c>
      <c r="F618">
        <f t="shared" si="36"/>
        <v>0</v>
      </c>
      <c r="G618">
        <f t="shared" si="35"/>
        <v>0</v>
      </c>
      <c r="H618" s="12" cm="1">
        <f t="array" ref="H618">PRODUCT(1+G$2:G618)-1</f>
        <v>0.12273611444896515</v>
      </c>
      <c r="I618">
        <f>H618-MAX(H$2:H618)</f>
        <v>-4.2258657137486555E-2</v>
      </c>
      <c r="L618" s="2">
        <f t="shared" si="37"/>
        <v>0.17953111461769997</v>
      </c>
    </row>
    <row r="619" spans="1:12" x14ac:dyDescent="0.25">
      <c r="A619" s="1">
        <v>44806</v>
      </c>
      <c r="B619">
        <v>400.27999877929602</v>
      </c>
      <c r="C619">
        <v>414.867999267578</v>
      </c>
      <c r="D619">
        <v>400.62479797363198</v>
      </c>
      <c r="E619" t="str">
        <f t="shared" si="34"/>
        <v>Hold</v>
      </c>
      <c r="F619">
        <f t="shared" si="36"/>
        <v>0</v>
      </c>
      <c r="G619">
        <f t="shared" si="35"/>
        <v>0</v>
      </c>
      <c r="H619" s="12" cm="1">
        <f t="array" ref="H619">PRODUCT(1+G$2:G619)-1</f>
        <v>0.12273611444896515</v>
      </c>
      <c r="I619">
        <f>H619-MAX(H$2:H619)</f>
        <v>-4.2258657137486555E-2</v>
      </c>
      <c r="L619" s="2">
        <f t="shared" si="37"/>
        <v>0.20171726314244448</v>
      </c>
    </row>
    <row r="620" spans="1:12" x14ac:dyDescent="0.25">
      <c r="A620" s="1">
        <v>44810</v>
      </c>
      <c r="B620">
        <v>393.13000488281199</v>
      </c>
      <c r="C620">
        <v>413.76199951171799</v>
      </c>
      <c r="D620">
        <v>400.85939819335903</v>
      </c>
      <c r="E620" t="str">
        <f t="shared" si="34"/>
        <v>Hold</v>
      </c>
      <c r="F620">
        <f t="shared" si="36"/>
        <v>0</v>
      </c>
      <c r="G620">
        <f t="shared" si="35"/>
        <v>0</v>
      </c>
      <c r="H620" s="12" cm="1">
        <f t="array" ref="H620">PRODUCT(1+G$2:G620)-1</f>
        <v>0.12273611444896515</v>
      </c>
      <c r="I620">
        <f>H620-MAX(H$2:H620)</f>
        <v>-4.2258657137486555E-2</v>
      </c>
      <c r="L620" s="2">
        <f t="shared" si="37"/>
        <v>0.18025161129131231</v>
      </c>
    </row>
    <row r="621" spans="1:12" x14ac:dyDescent="0.25">
      <c r="A621" s="1">
        <v>44811</v>
      </c>
      <c r="B621">
        <v>390.42999267578102</v>
      </c>
      <c r="C621">
        <v>412.67249908447201</v>
      </c>
      <c r="D621">
        <v>400.84699829101498</v>
      </c>
      <c r="E621" t="str">
        <f t="shared" si="34"/>
        <v>Hold</v>
      </c>
      <c r="F621">
        <f t="shared" si="36"/>
        <v>0</v>
      </c>
      <c r="G621">
        <f t="shared" si="35"/>
        <v>0</v>
      </c>
      <c r="H621" s="12" cm="1">
        <f t="array" ref="H621">PRODUCT(1+G$2:G621)-1</f>
        <v>0.12273611444896515</v>
      </c>
      <c r="I621">
        <f>H621-MAX(H$2:H621)</f>
        <v>-4.2258657137486555E-2</v>
      </c>
      <c r="L621" s="2">
        <f t="shared" si="37"/>
        <v>0.1721456572347034</v>
      </c>
    </row>
    <row r="622" spans="1:12" x14ac:dyDescent="0.25">
      <c r="A622" s="1">
        <v>44812</v>
      </c>
      <c r="B622">
        <v>395.39001464843699</v>
      </c>
      <c r="C622">
        <v>411.50299987792903</v>
      </c>
      <c r="D622">
        <v>400.95019836425701</v>
      </c>
      <c r="E622" t="str">
        <f t="shared" si="34"/>
        <v>Hold</v>
      </c>
      <c r="F622">
        <f t="shared" si="36"/>
        <v>0</v>
      </c>
      <c r="G622">
        <f t="shared" si="35"/>
        <v>0</v>
      </c>
      <c r="H622" s="12" cm="1">
        <f t="array" ref="H622">PRODUCT(1+G$2:G622)-1</f>
        <v>0.12273611444896515</v>
      </c>
      <c r="I622">
        <f>H622-MAX(H$2:H622)</f>
        <v>-4.2258657137486555E-2</v>
      </c>
      <c r="L622" s="2">
        <f t="shared" si="37"/>
        <v>0.18703659369988762</v>
      </c>
    </row>
    <row r="623" spans="1:12" x14ac:dyDescent="0.25">
      <c r="A623" s="1">
        <v>44813</v>
      </c>
      <c r="B623">
        <v>402.739990234375</v>
      </c>
      <c r="C623">
        <v>410.49049987792898</v>
      </c>
      <c r="D623">
        <v>401.38039794921798</v>
      </c>
      <c r="E623" t="str">
        <f t="shared" si="34"/>
        <v>Hold</v>
      </c>
      <c r="F623">
        <f t="shared" si="36"/>
        <v>0</v>
      </c>
      <c r="G623">
        <f t="shared" si="35"/>
        <v>0</v>
      </c>
      <c r="H623" s="12" cm="1">
        <f t="array" ref="H623">PRODUCT(1+G$2:G623)-1</f>
        <v>0.12273611444896515</v>
      </c>
      <c r="I623">
        <f>H623-MAX(H$2:H623)</f>
        <v>-4.2258657137486555E-2</v>
      </c>
      <c r="L623" s="2">
        <f t="shared" si="37"/>
        <v>0.20910262890582673</v>
      </c>
    </row>
    <row r="624" spans="1:12" x14ac:dyDescent="0.25">
      <c r="A624" s="1">
        <v>44816</v>
      </c>
      <c r="B624">
        <v>408.77999877929602</v>
      </c>
      <c r="C624">
        <v>409.82799987792902</v>
      </c>
      <c r="D624">
        <v>402.03119812011698</v>
      </c>
      <c r="E624" t="str">
        <f t="shared" si="34"/>
        <v>Hold</v>
      </c>
      <c r="F624">
        <f t="shared" si="36"/>
        <v>0</v>
      </c>
      <c r="G624">
        <f t="shared" si="35"/>
        <v>0</v>
      </c>
      <c r="H624" s="12" cm="1">
        <f t="array" ref="H624">PRODUCT(1+G$2:G624)-1</f>
        <v>0.12273611444896515</v>
      </c>
      <c r="I624">
        <f>H624-MAX(H$2:H624)</f>
        <v>-4.2258657137486555E-2</v>
      </c>
      <c r="L624" s="2">
        <f t="shared" si="37"/>
        <v>0.22723589202188255</v>
      </c>
    </row>
    <row r="625" spans="1:12" x14ac:dyDescent="0.25">
      <c r="A625" s="1">
        <v>44817</v>
      </c>
      <c r="B625">
        <v>401.829986572265</v>
      </c>
      <c r="C625">
        <v>408.68099975585898</v>
      </c>
      <c r="D625">
        <v>402.53659790039001</v>
      </c>
      <c r="E625" t="str">
        <f t="shared" si="34"/>
        <v>Hold</v>
      </c>
      <c r="F625">
        <f t="shared" si="36"/>
        <v>0</v>
      </c>
      <c r="G625">
        <f t="shared" si="35"/>
        <v>0</v>
      </c>
      <c r="H625" s="12" cm="1">
        <f t="array" ref="H625">PRODUCT(1+G$2:G625)-1</f>
        <v>0.12273611444896515</v>
      </c>
      <c r="I625">
        <f>H625-MAX(H$2:H625)</f>
        <v>-4.2258657137486555E-2</v>
      </c>
      <c r="L625" s="2">
        <f t="shared" si="37"/>
        <v>0.20637062352555444</v>
      </c>
    </row>
    <row r="626" spans="1:12" x14ac:dyDescent="0.25">
      <c r="A626" s="1">
        <v>44818</v>
      </c>
      <c r="B626">
        <v>394.47000122070301</v>
      </c>
      <c r="C626">
        <v>407.01799926757798</v>
      </c>
      <c r="D626">
        <v>402.90839782714801</v>
      </c>
      <c r="E626" t="str">
        <f t="shared" si="34"/>
        <v>Hold</v>
      </c>
      <c r="F626">
        <f t="shared" si="36"/>
        <v>0</v>
      </c>
      <c r="G626">
        <f t="shared" si="35"/>
        <v>0</v>
      </c>
      <c r="H626" s="12" cm="1">
        <f t="array" ref="H626">PRODUCT(1+G$2:G626)-1</f>
        <v>0.12273611444896515</v>
      </c>
      <c r="I626">
        <f>H626-MAX(H$2:H626)</f>
        <v>-4.2258657137486555E-2</v>
      </c>
      <c r="L626" s="2">
        <f t="shared" si="37"/>
        <v>0.18427453708501196</v>
      </c>
    </row>
    <row r="627" spans="1:12" x14ac:dyDescent="0.25">
      <c r="A627" s="1">
        <v>44819</v>
      </c>
      <c r="B627">
        <v>392.95999145507801</v>
      </c>
      <c r="C627">
        <v>405.37049865722599</v>
      </c>
      <c r="D627">
        <v>403.12539794921798</v>
      </c>
      <c r="E627" t="str">
        <f t="shared" si="34"/>
        <v>Hold</v>
      </c>
      <c r="F627">
        <f t="shared" si="36"/>
        <v>0</v>
      </c>
      <c r="G627">
        <f t="shared" si="35"/>
        <v>0</v>
      </c>
      <c r="H627" s="12" cm="1">
        <f t="array" ref="H627">PRODUCT(1+G$2:G627)-1</f>
        <v>0.12273611444896515</v>
      </c>
      <c r="I627">
        <f>H627-MAX(H$2:H627)</f>
        <v>-4.2258657137486555E-2</v>
      </c>
      <c r="L627" s="2">
        <f t="shared" si="37"/>
        <v>0.17974119840109296</v>
      </c>
    </row>
    <row r="628" spans="1:12" x14ac:dyDescent="0.25">
      <c r="A628" s="1">
        <v>44820</v>
      </c>
      <c r="B628">
        <v>384.14001464843699</v>
      </c>
      <c r="C628">
        <v>403.23450012207002</v>
      </c>
      <c r="D628">
        <v>403.10579833984298</v>
      </c>
      <c r="E628" t="str">
        <f t="shared" si="34"/>
        <v>Buy</v>
      </c>
      <c r="F628">
        <f t="shared" si="36"/>
        <v>1</v>
      </c>
      <c r="G628">
        <f t="shared" si="35"/>
        <v>-4.8940615690155568E-3</v>
      </c>
      <c r="H628" s="12" cm="1">
        <f t="array" ref="H628">PRODUCT(1+G$2:G628)-1</f>
        <v>0.11724137477909458</v>
      </c>
      <c r="I628">
        <f>H628-MAX(H$2:H628)</f>
        <v>-4.7753396807357129E-2</v>
      </c>
      <c r="L628" s="2">
        <f t="shared" si="37"/>
        <v>0.15326193783004313</v>
      </c>
    </row>
    <row r="629" spans="1:12" x14ac:dyDescent="0.25">
      <c r="A629" s="1">
        <v>44823</v>
      </c>
      <c r="B629">
        <v>382.260009765625</v>
      </c>
      <c r="C629">
        <v>401.098500061035</v>
      </c>
      <c r="D629">
        <v>403.00559875488199</v>
      </c>
      <c r="E629" t="str">
        <f t="shared" si="34"/>
        <v>Buy</v>
      </c>
      <c r="F629">
        <f t="shared" si="36"/>
        <v>1</v>
      </c>
      <c r="G629">
        <f t="shared" si="35"/>
        <v>7.3248253059083187E-3</v>
      </c>
      <c r="H629" s="12" cm="1">
        <f t="array" ref="H629">PRODUCT(1+G$2:G629)-1</f>
        <v>0.12542497267388431</v>
      </c>
      <c r="I629">
        <f>H629-MAX(H$2:H629)</f>
        <v>-3.95697989125674E-2</v>
      </c>
      <c r="L629" s="2">
        <f t="shared" si="37"/>
        <v>0.14761780290110071</v>
      </c>
    </row>
    <row r="630" spans="1:12" x14ac:dyDescent="0.25">
      <c r="A630" s="1">
        <v>44824</v>
      </c>
      <c r="B630">
        <v>385.05999755859301</v>
      </c>
      <c r="C630">
        <v>399.49900054931601</v>
      </c>
      <c r="D630">
        <v>402.989798583984</v>
      </c>
      <c r="E630" t="str">
        <f t="shared" si="34"/>
        <v>Buy</v>
      </c>
      <c r="F630">
        <f t="shared" si="36"/>
        <v>1</v>
      </c>
      <c r="G630">
        <f t="shared" si="35"/>
        <v>2.7268160796401733E-3</v>
      </c>
      <c r="H630" s="12" cm="1">
        <f t="array" ref="H630">PRODUCT(1+G$2:G630)-1</f>
        <v>0.12849379958579998</v>
      </c>
      <c r="I630">
        <f>H630-MAX(H$2:H630)</f>
        <v>-3.6500972000651721E-2</v>
      </c>
      <c r="L630" s="2">
        <f t="shared" si="37"/>
        <v>0.1560239028253016</v>
      </c>
    </row>
    <row r="631" spans="1:12" x14ac:dyDescent="0.25">
      <c r="A631" s="1">
        <v>44825</v>
      </c>
      <c r="B631">
        <v>386.10998535156199</v>
      </c>
      <c r="C631">
        <v>398.15950012207003</v>
      </c>
      <c r="D631">
        <v>403.03899841308498</v>
      </c>
      <c r="E631" t="str">
        <f t="shared" si="34"/>
        <v>Buy</v>
      </c>
      <c r="F631">
        <f t="shared" si="36"/>
        <v>1</v>
      </c>
      <c r="G631">
        <f t="shared" si="35"/>
        <v>-2.4682083190932517E-2</v>
      </c>
      <c r="H631" s="12" cm="1">
        <f t="array" ref="H631">PRODUCT(1+G$2:G631)-1</f>
        <v>0.10064022174397169</v>
      </c>
      <c r="I631">
        <f>H631-MAX(H$2:H631)</f>
        <v>-6.4354549842480013E-2</v>
      </c>
      <c r="L631" s="2">
        <f t="shared" si="37"/>
        <v>0.15917616739197402</v>
      </c>
    </row>
    <row r="632" spans="1:12" x14ac:dyDescent="0.25">
      <c r="A632" s="1">
        <v>44826</v>
      </c>
      <c r="B632">
        <v>376.579986572265</v>
      </c>
      <c r="C632">
        <v>396.38300018310503</v>
      </c>
      <c r="D632">
        <v>403.06859802245998</v>
      </c>
      <c r="E632" t="str">
        <f t="shared" si="34"/>
        <v>Buy</v>
      </c>
      <c r="F632">
        <f t="shared" si="36"/>
        <v>1</v>
      </c>
      <c r="G632">
        <f t="shared" si="35"/>
        <v>-1.593287007791799E-2</v>
      </c>
      <c r="H632" s="12" cm="1">
        <f t="array" ref="H632">PRODUCT(1+G$2:G632)-1</f>
        <v>8.3103864088394097E-2</v>
      </c>
      <c r="I632">
        <f>H632-MAX(H$2:H632)</f>
        <v>-8.1890907498057608E-2</v>
      </c>
      <c r="L632" s="2">
        <f t="shared" si="37"/>
        <v>0.13056528479545898</v>
      </c>
    </row>
    <row r="633" spans="1:12" x14ac:dyDescent="0.25">
      <c r="A633" s="1">
        <v>44827</v>
      </c>
      <c r="B633">
        <v>370.579986572265</v>
      </c>
      <c r="C633">
        <v>394.14999999999901</v>
      </c>
      <c r="D633">
        <v>403.00799804687398</v>
      </c>
      <c r="E633" t="str">
        <f t="shared" si="34"/>
        <v>Buy</v>
      </c>
      <c r="F633">
        <f t="shared" si="36"/>
        <v>1</v>
      </c>
      <c r="G633">
        <f t="shared" si="35"/>
        <v>-1.1252585302101452E-2</v>
      </c>
      <c r="H633" s="12" cm="1">
        <f t="array" ref="H633">PRODUCT(1+G$2:G633)-1</f>
        <v>7.0916145466703773E-2</v>
      </c>
      <c r="I633">
        <f>H633-MAX(H$2:H633)</f>
        <v>-9.4078626119747932E-2</v>
      </c>
      <c r="L633" s="2">
        <f t="shared" si="37"/>
        <v>0.11255213499820858</v>
      </c>
    </row>
    <row r="634" spans="1:12" x14ac:dyDescent="0.25">
      <c r="A634" s="1">
        <v>44830</v>
      </c>
      <c r="B634">
        <v>366.41000366210898</v>
      </c>
      <c r="C634">
        <v>391.50099945068303</v>
      </c>
      <c r="D634">
        <v>402.68519836425702</v>
      </c>
      <c r="E634" t="str">
        <f t="shared" si="34"/>
        <v>Buy</v>
      </c>
      <c r="F634">
        <f t="shared" si="36"/>
        <v>1</v>
      </c>
      <c r="G634">
        <f t="shared" si="35"/>
        <v>4.3939448581396257E-3</v>
      </c>
      <c r="H634" s="12" cm="1">
        <f t="array" ref="H634">PRODUCT(1+G$2:G634)-1</f>
        <v>7.5621691957575843E-2</v>
      </c>
      <c r="I634">
        <f>H634-MAX(H$2:H634)</f>
        <v>-8.9373079628875862E-2</v>
      </c>
      <c r="L634" s="2">
        <f t="shared" si="37"/>
        <v>0.10003304719610616</v>
      </c>
    </row>
    <row r="635" spans="1:12" x14ac:dyDescent="0.25">
      <c r="A635" s="1">
        <v>44831</v>
      </c>
      <c r="B635">
        <v>368.01998901367102</v>
      </c>
      <c r="C635">
        <v>389.79199829101498</v>
      </c>
      <c r="D635">
        <v>402.27799804687498</v>
      </c>
      <c r="E635" t="str">
        <f t="shared" si="34"/>
        <v>Buy</v>
      </c>
      <c r="F635">
        <f t="shared" si="36"/>
        <v>1</v>
      </c>
      <c r="G635">
        <f t="shared" si="35"/>
        <v>-9.8907239810928256E-3</v>
      </c>
      <c r="H635" s="12" cm="1">
        <f t="array" ref="H635">PRODUCT(1+G$2:G635)-1</f>
        <v>6.498301469434753E-2</v>
      </c>
      <c r="I635">
        <f>H635-MAX(H$2:H635)</f>
        <v>-0.10001175689210418</v>
      </c>
      <c r="L635" s="2">
        <f t="shared" si="37"/>
        <v>0.10486653174761715</v>
      </c>
    </row>
    <row r="636" spans="1:12" x14ac:dyDescent="0.25">
      <c r="A636" s="1">
        <v>44832</v>
      </c>
      <c r="B636">
        <v>364.38000488281199</v>
      </c>
      <c r="C636">
        <v>387.81849822997998</v>
      </c>
      <c r="D636">
        <v>401.84399841308499</v>
      </c>
      <c r="E636" t="str">
        <f t="shared" si="34"/>
        <v>Buy</v>
      </c>
      <c r="F636">
        <f t="shared" si="36"/>
        <v>1</v>
      </c>
      <c r="G636">
        <f t="shared" si="35"/>
        <v>6.6688419869869947E-3</v>
      </c>
      <c r="H636" s="12" cm="1">
        <f t="array" ref="H636">PRODUCT(1+G$2:G636)-1</f>
        <v>7.2085218138169038E-2</v>
      </c>
      <c r="I636">
        <f>H636-MAX(H$2:H636)</f>
        <v>-9.2909553448282667E-2</v>
      </c>
      <c r="L636" s="2">
        <f t="shared" si="37"/>
        <v>9.3938601846154143E-2</v>
      </c>
    </row>
    <row r="637" spans="1:12" x14ac:dyDescent="0.25">
      <c r="A637" s="1">
        <v>44833</v>
      </c>
      <c r="B637">
        <v>366.80999755859301</v>
      </c>
      <c r="C637">
        <v>386.16249847412098</v>
      </c>
      <c r="D637">
        <v>401.330798339843</v>
      </c>
      <c r="E637" t="str">
        <f t="shared" si="34"/>
        <v>Buy</v>
      </c>
      <c r="F637">
        <f t="shared" si="36"/>
        <v>1</v>
      </c>
      <c r="G637">
        <f t="shared" si="35"/>
        <v>-1.3658323925112532E-2</v>
      </c>
      <c r="H637" s="12" cm="1">
        <f t="array" ref="H637">PRODUCT(1+G$2:G637)-1</f>
        <v>5.7442330953513032E-2</v>
      </c>
      <c r="I637">
        <f>H637-MAX(H$2:H637)</f>
        <v>-0.10755244063293867</v>
      </c>
      <c r="L637" s="2">
        <f t="shared" si="37"/>
        <v>0.10123390552533162</v>
      </c>
    </row>
    <row r="638" spans="1:12" x14ac:dyDescent="0.25">
      <c r="A638" s="1">
        <v>44834</v>
      </c>
      <c r="B638">
        <v>361.79998779296801</v>
      </c>
      <c r="C638">
        <v>384.60799713134702</v>
      </c>
      <c r="D638">
        <v>400.68359802245999</v>
      </c>
      <c r="E638" t="str">
        <f t="shared" si="34"/>
        <v>Buy</v>
      </c>
      <c r="F638">
        <f t="shared" si="36"/>
        <v>1</v>
      </c>
      <c r="G638">
        <f t="shared" si="35"/>
        <v>-1.9900531923594646E-3</v>
      </c>
      <c r="H638" s="12" cm="1">
        <f t="array" ref="H638">PRODUCT(1+G$2:G638)-1</f>
        <v>5.5337964467063072E-2</v>
      </c>
      <c r="I638">
        <f>H638-MAX(H$2:H638)</f>
        <v>-0.10965680711938863</v>
      </c>
      <c r="L638" s="2">
        <f t="shared" si="37"/>
        <v>8.6192896126349866E-2</v>
      </c>
    </row>
    <row r="639" spans="1:12" x14ac:dyDescent="0.25">
      <c r="A639" s="1">
        <v>44837</v>
      </c>
      <c r="B639">
        <v>361.079986572265</v>
      </c>
      <c r="C639">
        <v>382.647996520996</v>
      </c>
      <c r="D639">
        <v>399.92679748535102</v>
      </c>
      <c r="E639" t="str">
        <f t="shared" si="34"/>
        <v>Buy</v>
      </c>
      <c r="F639">
        <f t="shared" si="36"/>
        <v>1</v>
      </c>
      <c r="G639">
        <f t="shared" si="35"/>
        <v>3.1350414714700452E-2</v>
      </c>
      <c r="H639" s="12" cm="1">
        <f t="array" ref="H639">PRODUCT(1+G$2:G639)-1</f>
        <v>8.8423247317273246E-2</v>
      </c>
      <c r="I639">
        <f>H639-MAX(H$2:H639)</f>
        <v>-7.6571524269178459E-2</v>
      </c>
      <c r="L639" s="2">
        <f t="shared" si="37"/>
        <v>8.4031314485895459E-2</v>
      </c>
    </row>
    <row r="640" spans="1:12" x14ac:dyDescent="0.25">
      <c r="A640" s="1">
        <v>44838</v>
      </c>
      <c r="B640">
        <v>372.39999389648398</v>
      </c>
      <c r="C640">
        <v>381.61149597167901</v>
      </c>
      <c r="D640">
        <v>399.45979736328098</v>
      </c>
      <c r="E640" t="str">
        <f t="shared" si="34"/>
        <v>Buy</v>
      </c>
      <c r="F640">
        <f t="shared" si="36"/>
        <v>1</v>
      </c>
      <c r="G640">
        <f t="shared" si="35"/>
        <v>2.6584875622425691E-3</v>
      </c>
      <c r="H640" s="12" cm="1">
        <f t="array" ref="H640">PRODUCT(1+G$2:G640)-1</f>
        <v>9.1316806982721932E-2</v>
      </c>
      <c r="I640">
        <f>H640-MAX(H$2:H640)</f>
        <v>-7.3677964603729773E-2</v>
      </c>
      <c r="L640" s="2">
        <f t="shared" si="37"/>
        <v>0.11801614575875015</v>
      </c>
    </row>
    <row r="641" spans="1:12" x14ac:dyDescent="0.25">
      <c r="A641" s="1">
        <v>44839</v>
      </c>
      <c r="B641">
        <v>373.39001464843699</v>
      </c>
      <c r="C641">
        <v>380.75949707031202</v>
      </c>
      <c r="D641">
        <v>399.05079772949199</v>
      </c>
      <c r="E641" t="str">
        <f t="shared" si="34"/>
        <v>Buy</v>
      </c>
      <c r="F641">
        <f t="shared" si="36"/>
        <v>1</v>
      </c>
      <c r="G641">
        <f t="shared" si="35"/>
        <v>5.9722552325070181E-3</v>
      </c>
      <c r="H641" s="12" cm="1">
        <f t="array" ref="H641">PRODUCT(1+G$2:G641)-1</f>
        <v>9.783442949354737E-2</v>
      </c>
      <c r="I641">
        <f>H641-MAX(H$2:H641)</f>
        <v>-6.7160342092904335E-2</v>
      </c>
      <c r="L641" s="2">
        <f t="shared" si="37"/>
        <v>0.12098837777663615</v>
      </c>
    </row>
    <row r="642" spans="1:12" x14ac:dyDescent="0.25">
      <c r="A642" s="1">
        <v>44840</v>
      </c>
      <c r="B642">
        <v>375.61999511718699</v>
      </c>
      <c r="C642">
        <v>379.77099609374898</v>
      </c>
      <c r="D642">
        <v>398.67599792480399</v>
      </c>
      <c r="E642" t="str">
        <f t="shared" si="34"/>
        <v>Buy</v>
      </c>
      <c r="F642">
        <f t="shared" si="36"/>
        <v>1</v>
      </c>
      <c r="G642">
        <f t="shared" si="35"/>
        <v>-1.7704046597437639E-2</v>
      </c>
      <c r="H642" s="12" cm="1">
        <f t="array" ref="H642">PRODUCT(1+G$2:G642)-1</f>
        <v>7.8398317597522249E-2</v>
      </c>
      <c r="I642">
        <f>H642-MAX(H$2:H642)</f>
        <v>-8.6596453988929456E-2</v>
      </c>
      <c r="L642" s="2">
        <f t="shared" si="37"/>
        <v>0.12768320648139223</v>
      </c>
    </row>
    <row r="643" spans="1:12" x14ac:dyDescent="0.25">
      <c r="A643" s="1">
        <v>44841</v>
      </c>
      <c r="B643">
        <v>368.97000122070301</v>
      </c>
      <c r="C643">
        <v>378.08249664306601</v>
      </c>
      <c r="D643">
        <v>398.01759765625002</v>
      </c>
      <c r="E643" t="str">
        <f t="shared" ref="E643:E706" si="38">IF(OR(ISBLANK(C643),ISBLANK(D643),ISBLANK(C644),ISBLANK(D644)), "Hold", IF(AND(C643&gt;C644,C644&lt;=D644), "Buy", IF(AND(C643&lt;C644,C644&gt;=D644), "Sell", "Hold")))</f>
        <v>Buy</v>
      </c>
      <c r="F643">
        <f t="shared" si="36"/>
        <v>1</v>
      </c>
      <c r="G643">
        <f t="shared" ref="G643:G706" si="39">IF(F643=1,(B644-B643)/B643,0)</f>
        <v>-1.3578366124752278E-2</v>
      </c>
      <c r="H643" s="12" cm="1">
        <f t="array" ref="H643">PRODUCT(1+G$2:G643)-1</f>
        <v>6.3755430412866243E-2</v>
      </c>
      <c r="I643">
        <f>H643-MAX(H$2:H643)</f>
        <v>-0.10123934117358546</v>
      </c>
      <c r="L643" s="2">
        <f t="shared" si="37"/>
        <v>0.10771865044669776</v>
      </c>
    </row>
    <row r="644" spans="1:12" x14ac:dyDescent="0.25">
      <c r="A644" s="1">
        <v>44844</v>
      </c>
      <c r="B644">
        <v>363.95999145507801</v>
      </c>
      <c r="C644">
        <v>375.84149627685503</v>
      </c>
      <c r="D644">
        <v>397.14519775390602</v>
      </c>
      <c r="E644" t="str">
        <f t="shared" si="38"/>
        <v>Buy</v>
      </c>
      <c r="F644">
        <f t="shared" ref="F644:F707" si="40">IF(E644="Buy",1, IF(E644="Sell",0,F643))</f>
        <v>1</v>
      </c>
      <c r="G644">
        <f t="shared" si="39"/>
        <v>-1.5716016471576947E-2</v>
      </c>
      <c r="H644" s="12" cm="1">
        <f t="array" ref="H644">PRODUCT(1+G$2:G644)-1</f>
        <v>4.7037432546768176E-2</v>
      </c>
      <c r="I644">
        <f>H644-MAX(H$2:H644)</f>
        <v>-0.11795733903968353</v>
      </c>
      <c r="L644" s="2">
        <f t="shared" si="37"/>
        <v>9.2677641047716017E-2</v>
      </c>
    </row>
    <row r="645" spans="1:12" x14ac:dyDescent="0.25">
      <c r="A645" s="1">
        <v>44845</v>
      </c>
      <c r="B645">
        <v>358.239990234375</v>
      </c>
      <c r="C645">
        <v>373.66199645995999</v>
      </c>
      <c r="D645">
        <v>396.12699768066398</v>
      </c>
      <c r="E645" t="str">
        <f t="shared" si="38"/>
        <v>Buy</v>
      </c>
      <c r="F645">
        <f t="shared" si="40"/>
        <v>1</v>
      </c>
      <c r="G645">
        <f t="shared" si="39"/>
        <v>-1.953349948319317E-4</v>
      </c>
      <c r="H645" s="12" cm="1">
        <f t="array" ref="H645">PRODUCT(1+G$2:G645)-1</f>
        <v>4.683290949529284E-2</v>
      </c>
      <c r="I645">
        <f>H645-MAX(H$2:H645)</f>
        <v>-0.11816186209115886</v>
      </c>
      <c r="L645" s="2">
        <f t="shared" si="37"/>
        <v>7.5505101242886272E-2</v>
      </c>
    </row>
    <row r="646" spans="1:12" x14ac:dyDescent="0.25">
      <c r="A646" s="1">
        <v>44846</v>
      </c>
      <c r="B646">
        <v>358.17001342773398</v>
      </c>
      <c r="C646">
        <v>371.846997070312</v>
      </c>
      <c r="D646">
        <v>395.10799804687503</v>
      </c>
      <c r="E646" t="str">
        <f t="shared" si="38"/>
        <v>Buy</v>
      </c>
      <c r="F646">
        <f t="shared" si="40"/>
        <v>1</v>
      </c>
      <c r="G646">
        <f t="shared" si="39"/>
        <v>-2.5016114238340003E-2</v>
      </c>
      <c r="H646" s="12" cm="1">
        <f t="array" ref="H646">PRODUCT(1+G$2:G646)-1</f>
        <v>2.0645217842904628E-2</v>
      </c>
      <c r="I646">
        <f>H646-MAX(H$2:H646)</f>
        <v>-0.14434955374354708</v>
      </c>
      <c r="L646" s="2">
        <f t="shared" si="37"/>
        <v>7.5295017459493269E-2</v>
      </c>
    </row>
    <row r="647" spans="1:12" x14ac:dyDescent="0.25">
      <c r="A647" s="1">
        <v>44847</v>
      </c>
      <c r="B647">
        <v>349.20999145507801</v>
      </c>
      <c r="C647">
        <v>369.659497070312</v>
      </c>
      <c r="D647">
        <v>393.886198120117</v>
      </c>
      <c r="E647" t="str">
        <f t="shared" si="38"/>
        <v>Buy</v>
      </c>
      <c r="F647">
        <f t="shared" si="40"/>
        <v>1</v>
      </c>
      <c r="G647">
        <f t="shared" si="39"/>
        <v>5.5382139145860827E-2</v>
      </c>
      <c r="H647" s="12" cm="1">
        <f t="array" ref="H647">PRODUCT(1+G$2:G647)-1</f>
        <v>7.7170733316037854E-2</v>
      </c>
      <c r="I647">
        <f>H647-MAX(H$2:H647)</f>
        <v>-8.7824038270413851E-2</v>
      </c>
      <c r="L647" s="2">
        <f t="shared" ref="L647:L710" si="41">(B647-B$134)/B$134</f>
        <v>4.8395314462808779E-2</v>
      </c>
    </row>
    <row r="648" spans="1:12" x14ac:dyDescent="0.25">
      <c r="A648" s="1">
        <v>44848</v>
      </c>
      <c r="B648">
        <v>368.54998779296801</v>
      </c>
      <c r="C648">
        <v>368.87999572753898</v>
      </c>
      <c r="D648">
        <v>392.96979797363201</v>
      </c>
      <c r="E648" t="str">
        <f t="shared" si="38"/>
        <v>Buy</v>
      </c>
      <c r="F648">
        <f t="shared" si="40"/>
        <v>1</v>
      </c>
      <c r="G648">
        <f t="shared" si="39"/>
        <v>-1.2318486440686933E-2</v>
      </c>
      <c r="H648" s="12" cm="1">
        <f t="array" ref="H648">PRODUCT(1+G$2:G648)-1</f>
        <v>6.3901620243379531E-2</v>
      </c>
      <c r="I648">
        <f>H648-MAX(H$2:H648)</f>
        <v>-0.10109315134307217</v>
      </c>
      <c r="L648" s="2">
        <f t="shared" si="41"/>
        <v>0.10645768964825657</v>
      </c>
    </row>
    <row r="649" spans="1:12" x14ac:dyDescent="0.25">
      <c r="A649" s="1">
        <v>44851</v>
      </c>
      <c r="B649">
        <v>364.010009765625</v>
      </c>
      <c r="C649">
        <v>367.96749572753902</v>
      </c>
      <c r="D649">
        <v>392.05679809570302</v>
      </c>
      <c r="E649" t="str">
        <f t="shared" si="38"/>
        <v>Buy</v>
      </c>
      <c r="F649">
        <f t="shared" si="40"/>
        <v>1</v>
      </c>
      <c r="G649">
        <f t="shared" si="39"/>
        <v>3.0548597068379563E-2</v>
      </c>
      <c r="H649" s="12" cm="1">
        <f t="array" ref="H649">PRODUCT(1+G$2:G649)-1</f>
        <v>9.6402322160590748E-2</v>
      </c>
      <c r="I649">
        <f>H649-MAX(H$2:H649)</f>
        <v>-6.8592449425860957E-2</v>
      </c>
      <c r="L649" s="2">
        <f t="shared" si="41"/>
        <v>9.2827805601130728E-2</v>
      </c>
    </row>
    <row r="650" spans="1:12" x14ac:dyDescent="0.25">
      <c r="A650" s="1">
        <v>44852</v>
      </c>
      <c r="B650">
        <v>375.13000488281199</v>
      </c>
      <c r="C650">
        <v>367.47099609374902</v>
      </c>
      <c r="D650">
        <v>391.25439819335901</v>
      </c>
      <c r="E650" t="str">
        <f t="shared" si="38"/>
        <v>Buy</v>
      </c>
      <c r="F650">
        <f t="shared" si="40"/>
        <v>1</v>
      </c>
      <c r="G650">
        <f t="shared" si="39"/>
        <v>-1.636769804738783E-2</v>
      </c>
      <c r="H650" s="12" cm="1">
        <f t="array" ref="H650">PRODUCT(1+G$2:G650)-1</f>
        <v>7.8456740013011395E-2</v>
      </c>
      <c r="I650">
        <f>H650-MAX(H$2:H650)</f>
        <v>-8.653803157344031E-2</v>
      </c>
      <c r="L650" s="2">
        <f t="shared" si="41"/>
        <v>0.12621216189956111</v>
      </c>
    </row>
    <row r="651" spans="1:12" x14ac:dyDescent="0.25">
      <c r="A651" s="1">
        <v>44853</v>
      </c>
      <c r="B651">
        <v>368.989990234375</v>
      </c>
      <c r="C651">
        <v>366.61499633788998</v>
      </c>
      <c r="D651">
        <v>390.38979797363203</v>
      </c>
      <c r="E651" t="str">
        <f t="shared" si="38"/>
        <v>Buy</v>
      </c>
      <c r="F651">
        <f t="shared" si="40"/>
        <v>1</v>
      </c>
      <c r="G651">
        <f t="shared" si="39"/>
        <v>-2.6016734342013191E-3</v>
      </c>
      <c r="H651" s="12" cm="1">
        <f t="array" ref="H651">PRODUCT(1+G$2:G651)-1</f>
        <v>7.5650947762584186E-2</v>
      </c>
      <c r="I651">
        <f>H651-MAX(H$2:H651)</f>
        <v>-8.9343823823867519E-2</v>
      </c>
      <c r="L651" s="2">
        <f t="shared" si="41"/>
        <v>0.10777866129629324</v>
      </c>
    </row>
    <row r="652" spans="1:12" x14ac:dyDescent="0.25">
      <c r="A652" s="1">
        <v>44854</v>
      </c>
      <c r="B652">
        <v>368.02999877929602</v>
      </c>
      <c r="C652">
        <v>366.18749694824203</v>
      </c>
      <c r="D652">
        <v>389.37479797363198</v>
      </c>
      <c r="E652" t="str">
        <f t="shared" si="38"/>
        <v>Buy</v>
      </c>
      <c r="F652">
        <f t="shared" si="40"/>
        <v>1</v>
      </c>
      <c r="G652">
        <f t="shared" si="39"/>
        <v>-7.9069740829853779E-3</v>
      </c>
      <c r="H652" s="12" cm="1">
        <f t="array" ref="H652">PRODUCT(1+G$2:G652)-1</f>
        <v>6.7145803596286857E-2</v>
      </c>
      <c r="I652">
        <f>H652-MAX(H$2:H652)</f>
        <v>-9.7848967990164848E-2</v>
      </c>
      <c r="L652" s="2">
        <f t="shared" si="41"/>
        <v>0.10489658298222357</v>
      </c>
    </row>
    <row r="653" spans="1:12" x14ac:dyDescent="0.25">
      <c r="A653" s="1">
        <v>44855</v>
      </c>
      <c r="B653">
        <v>365.11999511718699</v>
      </c>
      <c r="C653">
        <v>365.914497375488</v>
      </c>
      <c r="D653">
        <v>388.21739807128898</v>
      </c>
      <c r="E653" t="str">
        <f t="shared" si="38"/>
        <v>Hold</v>
      </c>
      <c r="F653">
        <f t="shared" si="40"/>
        <v>1</v>
      </c>
      <c r="G653">
        <f t="shared" si="39"/>
        <v>2.9497205508543324E-2</v>
      </c>
      <c r="H653" s="12" cm="1">
        <f t="array" ref="H653">PRODUCT(1+G$2:G653)-1</f>
        <v>9.8623622672546318E-2</v>
      </c>
      <c r="I653">
        <f>H653-MAX(H$2:H653)</f>
        <v>-6.6371148913905387E-2</v>
      </c>
      <c r="L653" s="2">
        <f t="shared" si="41"/>
        <v>9.6160194336204027E-2</v>
      </c>
    </row>
    <row r="654" spans="1:12" x14ac:dyDescent="0.25">
      <c r="A654" s="1">
        <v>44858</v>
      </c>
      <c r="B654">
        <v>375.89001464843699</v>
      </c>
      <c r="C654">
        <v>366.38849792480403</v>
      </c>
      <c r="D654">
        <v>387.29459838867098</v>
      </c>
      <c r="E654" t="str">
        <f t="shared" si="38"/>
        <v>Hold</v>
      </c>
      <c r="F654">
        <f t="shared" si="40"/>
        <v>1</v>
      </c>
      <c r="G654">
        <f t="shared" si="39"/>
        <v>7.7150064738919569E-3</v>
      </c>
      <c r="H654" s="12" cm="1">
        <f t="array" ref="H654">PRODUCT(1+G$2:G654)-1</f>
        <v>0.10709951103383575</v>
      </c>
      <c r="I654">
        <f>H654-MAX(H$2:H654)</f>
        <v>-5.7895260552615957E-2</v>
      </c>
      <c r="L654" s="2">
        <f t="shared" si="41"/>
        <v>0.12849385685882384</v>
      </c>
    </row>
    <row r="655" spans="1:12" x14ac:dyDescent="0.25">
      <c r="A655" s="1">
        <v>44859</v>
      </c>
      <c r="B655">
        <v>378.79000854492102</v>
      </c>
      <c r="C655">
        <v>366.92699890136703</v>
      </c>
      <c r="D655">
        <v>386.37499877929599</v>
      </c>
      <c r="E655" t="str">
        <f t="shared" si="38"/>
        <v>Hold</v>
      </c>
      <c r="F655">
        <f t="shared" si="40"/>
        <v>1</v>
      </c>
      <c r="G655">
        <f t="shared" si="39"/>
        <v>7.4711225439579023E-3</v>
      </c>
      <c r="H655" s="12" cm="1">
        <f t="array" ref="H655">PRODUCT(1+G$2:G655)-1</f>
        <v>0.11537078714912541</v>
      </c>
      <c r="I655">
        <f>H655-MAX(H$2:H655)</f>
        <v>-4.9623984437326296E-2</v>
      </c>
      <c r="L655" s="2">
        <f t="shared" si="41"/>
        <v>0.13720019427023694</v>
      </c>
    </row>
    <row r="656" spans="1:12" x14ac:dyDescent="0.25">
      <c r="A656" s="1">
        <v>44860</v>
      </c>
      <c r="B656">
        <v>381.61999511718699</v>
      </c>
      <c r="C656">
        <v>367.78899841308498</v>
      </c>
      <c r="D656">
        <v>385.45279846191403</v>
      </c>
      <c r="E656" t="str">
        <f t="shared" si="38"/>
        <v>Hold</v>
      </c>
      <c r="F656">
        <f t="shared" si="40"/>
        <v>1</v>
      </c>
      <c r="G656">
        <f t="shared" si="39"/>
        <v>3.7996232524078206E-3</v>
      </c>
      <c r="H656" s="12" cm="1">
        <f t="array" ref="H656">PRODUCT(1+G$2:G656)-1</f>
        <v>0.11960877592703367</v>
      </c>
      <c r="I656">
        <f>H656-MAX(H$2:H656)</f>
        <v>-4.5385995659418032E-2</v>
      </c>
      <c r="L656" s="2">
        <f t="shared" si="41"/>
        <v>0.14569635627864264</v>
      </c>
    </row>
    <row r="657" spans="1:12" x14ac:dyDescent="0.25">
      <c r="A657" s="1">
        <v>44861</v>
      </c>
      <c r="B657">
        <v>383.07000732421801</v>
      </c>
      <c r="C657">
        <v>368.60199890136698</v>
      </c>
      <c r="D657">
        <v>384.59599853515601</v>
      </c>
      <c r="E657" t="str">
        <f t="shared" si="38"/>
        <v>Hold</v>
      </c>
      <c r="F657">
        <f t="shared" si="40"/>
        <v>1</v>
      </c>
      <c r="G657">
        <f t="shared" si="39"/>
        <v>-8.3535963292543456E-3</v>
      </c>
      <c r="H657" s="12" cm="1">
        <f t="array" ref="H657">PRODUCT(1+G$2:G657)-1</f>
        <v>0.11025601616624869</v>
      </c>
      <c r="I657">
        <f>H657-MAX(H$2:H657)</f>
        <v>-5.4738755420203011E-2</v>
      </c>
      <c r="L657" s="2">
        <f t="shared" si="41"/>
        <v>0.15004957079415787</v>
      </c>
    </row>
    <row r="658" spans="1:12" x14ac:dyDescent="0.25">
      <c r="A658" s="1">
        <v>44862</v>
      </c>
      <c r="B658">
        <v>379.86999511718699</v>
      </c>
      <c r="C658">
        <v>369.50549926757799</v>
      </c>
      <c r="D658">
        <v>383.65619873046802</v>
      </c>
      <c r="E658" t="str">
        <f t="shared" si="38"/>
        <v>Hold</v>
      </c>
      <c r="F658">
        <f t="shared" si="40"/>
        <v>1</v>
      </c>
      <c r="G658">
        <f t="shared" si="39"/>
        <v>1.7295410031508904E-2</v>
      </c>
      <c r="H658" s="12" cm="1">
        <f t="array" ref="H658">PRODUCT(1+G$2:G658)-1</f>
        <v>0.12945834920579347</v>
      </c>
      <c r="I658">
        <f>H658-MAX(H$2:H658)</f>
        <v>-3.5536422380658239E-2</v>
      </c>
      <c r="L658" s="2">
        <f t="shared" si="41"/>
        <v>0.14044252092111126</v>
      </c>
    </row>
    <row r="659" spans="1:12" x14ac:dyDescent="0.25">
      <c r="A659" s="1">
        <v>44865</v>
      </c>
      <c r="B659">
        <v>386.44000244140602</v>
      </c>
      <c r="C659">
        <v>370.77350006103501</v>
      </c>
      <c r="D659">
        <v>382.88539855956998</v>
      </c>
      <c r="E659" t="str">
        <f t="shared" si="38"/>
        <v>Hold</v>
      </c>
      <c r="F659">
        <f t="shared" si="40"/>
        <v>1</v>
      </c>
      <c r="G659">
        <f t="shared" si="39"/>
        <v>9.5746097289500457E-3</v>
      </c>
      <c r="H659" s="12" cm="1">
        <f t="array" ref="H659">PRODUCT(1+G$2:G659)-1</f>
        <v>0.14027247210454297</v>
      </c>
      <c r="I659">
        <f>H659-MAX(H$2:H659)</f>
        <v>-2.4722299481908738E-2</v>
      </c>
      <c r="L659" s="2">
        <f t="shared" si="41"/>
        <v>0.16016694193780956</v>
      </c>
    </row>
    <row r="660" spans="1:12" x14ac:dyDescent="0.25">
      <c r="A660" s="1">
        <v>44866</v>
      </c>
      <c r="B660">
        <v>390.14001464843699</v>
      </c>
      <c r="C660">
        <v>371.66050109863198</v>
      </c>
      <c r="D660">
        <v>382.34719909667899</v>
      </c>
      <c r="E660" t="str">
        <f t="shared" si="38"/>
        <v>Hold</v>
      </c>
      <c r="F660">
        <f t="shared" si="40"/>
        <v>1</v>
      </c>
      <c r="G660">
        <f t="shared" si="39"/>
        <v>-1.5994311061827429E-2</v>
      </c>
      <c r="H660" s="12" cm="1">
        <f t="array" ref="H660">PRODUCT(1+G$2:G660)-1</f>
        <v>0.12203459949046391</v>
      </c>
      <c r="I660">
        <f>H660-MAX(H$2:H660)</f>
        <v>-4.2960172095987792E-2</v>
      </c>
      <c r="L660" s="2">
        <f t="shared" si="41"/>
        <v>0.17127508762729352</v>
      </c>
    </row>
    <row r="661" spans="1:12" x14ac:dyDescent="0.25">
      <c r="A661" s="1">
        <v>44867</v>
      </c>
      <c r="B661">
        <v>383.89999389648398</v>
      </c>
      <c r="C661">
        <v>372.18600006103497</v>
      </c>
      <c r="D661">
        <v>381.76719909667901</v>
      </c>
      <c r="E661" t="str">
        <f t="shared" si="38"/>
        <v>Buy</v>
      </c>
      <c r="F661">
        <f t="shared" si="40"/>
        <v>1</v>
      </c>
      <c r="G661">
        <f t="shared" si="39"/>
        <v>-3.2378204932018387E-2</v>
      </c>
      <c r="H661" s="12" cm="1">
        <f t="array" ref="H661">PRODUCT(1+G$2:G661)-1</f>
        <v>8.5705133287346413E-2</v>
      </c>
      <c r="I661">
        <f>H661-MAX(H$2:H661)</f>
        <v>-7.9289638299105292E-2</v>
      </c>
      <c r="L661" s="2">
        <f t="shared" si="41"/>
        <v>0.15254134953681342</v>
      </c>
    </row>
    <row r="662" spans="1:12" x14ac:dyDescent="0.25">
      <c r="A662" s="1">
        <v>44868</v>
      </c>
      <c r="B662">
        <v>371.47000122070301</v>
      </c>
      <c r="C662">
        <v>371.97850036621003</v>
      </c>
      <c r="D662">
        <v>380.95439941406198</v>
      </c>
      <c r="E662" t="str">
        <f t="shared" si="38"/>
        <v>Hold</v>
      </c>
      <c r="F662">
        <f t="shared" si="40"/>
        <v>1</v>
      </c>
      <c r="G662">
        <f t="shared" si="39"/>
        <v>1.48867977525093E-2</v>
      </c>
      <c r="H662" s="12" cm="1">
        <f t="array" ref="H662">PRODUCT(1+G$2:G662)-1</f>
        <v>0.10186780602545631</v>
      </c>
      <c r="I662">
        <f>H662-MAX(H$2:H662)</f>
        <v>-6.3126965560995396E-2</v>
      </c>
      <c r="L662" s="2">
        <f t="shared" si="41"/>
        <v>0.11522412952888543</v>
      </c>
    </row>
    <row r="663" spans="1:12" x14ac:dyDescent="0.25">
      <c r="A663" s="1">
        <v>44869</v>
      </c>
      <c r="B663">
        <v>377</v>
      </c>
      <c r="C663">
        <v>372.38000030517497</v>
      </c>
      <c r="D663">
        <v>380.189599609374</v>
      </c>
      <c r="E663" t="str">
        <f t="shared" si="38"/>
        <v>Hold</v>
      </c>
      <c r="F663">
        <f t="shared" si="40"/>
        <v>1</v>
      </c>
      <c r="G663">
        <f t="shared" si="39"/>
        <v>1.8832664590928683E-3</v>
      </c>
      <c r="H663" s="12" cm="1">
        <f t="array" ref="H663">PRODUCT(1+G$2:G663)-1</f>
        <v>0.10394291670689837</v>
      </c>
      <c r="I663">
        <f>H663-MAX(H$2:H663)</f>
        <v>-6.1051854879553336E-2</v>
      </c>
      <c r="L663" s="2">
        <f t="shared" si="41"/>
        <v>0.13182624559390019</v>
      </c>
    </row>
    <row r="664" spans="1:12" x14ac:dyDescent="0.25">
      <c r="A664" s="1">
        <v>44872</v>
      </c>
      <c r="B664">
        <v>377.70999145507801</v>
      </c>
      <c r="C664">
        <v>373.06750030517497</v>
      </c>
      <c r="D664">
        <v>379.35599914550698</v>
      </c>
      <c r="E664" t="str">
        <f t="shared" si="38"/>
        <v>Hold</v>
      </c>
      <c r="F664">
        <f t="shared" si="40"/>
        <v>1</v>
      </c>
      <c r="G664">
        <f t="shared" si="39"/>
        <v>9.0015990400093681E-3</v>
      </c>
      <c r="H664" s="12" cm="1">
        <f t="array" ref="H664">PRODUCT(1+G$2:G664)-1</f>
        <v>0.11388016820615232</v>
      </c>
      <c r="I664">
        <f>H664-MAX(H$2:H664)</f>
        <v>-5.1114603380299384E-2</v>
      </c>
      <c r="L664" s="2">
        <f t="shared" si="41"/>
        <v>0.13395777599974817</v>
      </c>
    </row>
    <row r="665" spans="1:12" x14ac:dyDescent="0.25">
      <c r="A665" s="1">
        <v>44873</v>
      </c>
      <c r="B665">
        <v>381.10998535156199</v>
      </c>
      <c r="C665">
        <v>374.21100006103501</v>
      </c>
      <c r="D665">
        <v>378.93419860839799</v>
      </c>
      <c r="E665" t="str">
        <f t="shared" si="38"/>
        <v>Hold</v>
      </c>
      <c r="F665">
        <f t="shared" si="40"/>
        <v>1</v>
      </c>
      <c r="G665">
        <f t="shared" si="39"/>
        <v>-3.0961998402966526E-3</v>
      </c>
      <c r="H665" s="12" cm="1">
        <f t="array" ref="H665">PRODUCT(1+G$2:G665)-1</f>
        <v>0.11043137260724278</v>
      </c>
      <c r="I665">
        <f>H665-MAX(H$2:H665)</f>
        <v>-5.4563398979208921E-2</v>
      </c>
      <c r="L665" s="2">
        <f t="shared" si="41"/>
        <v>0.14416520922759868</v>
      </c>
    </row>
    <row r="666" spans="1:12" x14ac:dyDescent="0.25">
      <c r="A666" s="1">
        <v>44874</v>
      </c>
      <c r="B666">
        <v>379.92999267578102</v>
      </c>
      <c r="C666">
        <v>375.29899902343698</v>
      </c>
      <c r="D666">
        <v>378.455798339843</v>
      </c>
      <c r="E666" t="str">
        <f t="shared" si="38"/>
        <v>Hold</v>
      </c>
      <c r="F666">
        <f t="shared" si="40"/>
        <v>1</v>
      </c>
      <c r="G666">
        <f t="shared" si="39"/>
        <v>2.1372345626096197E-2</v>
      </c>
      <c r="H666" s="12" cm="1">
        <f t="array" ref="H666">PRODUCT(1+G$2:G666)-1</f>
        <v>0.13416389569666509</v>
      </c>
      <c r="I666">
        <f>H666-MAX(H$2:H666)</f>
        <v>-3.0830875889786613E-2</v>
      </c>
      <c r="L666" s="2">
        <f t="shared" si="41"/>
        <v>0.14062264508951519</v>
      </c>
    </row>
    <row r="667" spans="1:12" x14ac:dyDescent="0.25">
      <c r="A667" s="1">
        <v>44875</v>
      </c>
      <c r="B667">
        <v>388.04998779296801</v>
      </c>
      <c r="C667">
        <v>377.240998840332</v>
      </c>
      <c r="D667">
        <v>378.21819824218699</v>
      </c>
      <c r="E667" t="str">
        <f t="shared" si="38"/>
        <v>Sell</v>
      </c>
      <c r="F667">
        <f t="shared" si="40"/>
        <v>0</v>
      </c>
      <c r="G667">
        <f t="shared" si="39"/>
        <v>0</v>
      </c>
      <c r="H667" s="12" cm="1">
        <f t="array" ref="H667">PRODUCT(1+G$2:G667)-1</f>
        <v>0.13416389569666509</v>
      </c>
      <c r="I667">
        <f>H667-MAX(H$2:H667)</f>
        <v>-3.0830875889786613E-2</v>
      </c>
      <c r="L667" s="2">
        <f t="shared" si="41"/>
        <v>0.16500042648932037</v>
      </c>
    </row>
    <row r="668" spans="1:12" x14ac:dyDescent="0.25">
      <c r="A668" s="1">
        <v>44876</v>
      </c>
      <c r="B668">
        <v>395.58999633789</v>
      </c>
      <c r="C668">
        <v>378.59299926757802</v>
      </c>
      <c r="D668">
        <v>378.27219787597602</v>
      </c>
      <c r="E668" t="str">
        <f t="shared" si="38"/>
        <v>Sell</v>
      </c>
      <c r="F668">
        <f t="shared" si="40"/>
        <v>0</v>
      </c>
      <c r="G668">
        <f t="shared" si="39"/>
        <v>0</v>
      </c>
      <c r="H668" s="12" cm="1">
        <f t="array" ref="H668">PRODUCT(1+G$2:G668)-1</f>
        <v>0.13416389569666509</v>
      </c>
      <c r="I668">
        <f>H668-MAX(H$2:H668)</f>
        <v>-3.0830875889786613E-2</v>
      </c>
      <c r="L668" s="2">
        <f t="shared" si="41"/>
        <v>0.18763697705469168</v>
      </c>
    </row>
    <row r="669" spans="1:12" x14ac:dyDescent="0.25">
      <c r="A669" s="1">
        <v>44879</v>
      </c>
      <c r="B669">
        <v>396.66000366210898</v>
      </c>
      <c r="C669">
        <v>380.22549896240201</v>
      </c>
      <c r="D669">
        <v>378.19979797363197</v>
      </c>
      <c r="E669" t="str">
        <f t="shared" si="38"/>
        <v>Sell</v>
      </c>
      <c r="F669">
        <f t="shared" si="40"/>
        <v>0</v>
      </c>
      <c r="G669">
        <f t="shared" si="39"/>
        <v>0</v>
      </c>
      <c r="H669" s="12" cm="1">
        <f t="array" ref="H669">PRODUCT(1+G$2:G669)-1</f>
        <v>0.13416389569666509</v>
      </c>
      <c r="I669">
        <f>H669-MAX(H$2:H669)</f>
        <v>-3.0830875889786613E-2</v>
      </c>
      <c r="L669" s="2">
        <f t="shared" si="41"/>
        <v>0.19084934409057694</v>
      </c>
    </row>
    <row r="670" spans="1:12" x14ac:dyDescent="0.25">
      <c r="A670" s="1">
        <v>44880</v>
      </c>
      <c r="B670">
        <v>401.14999389648398</v>
      </c>
      <c r="C670">
        <v>381.52649841308499</v>
      </c>
      <c r="D670">
        <v>378.36019775390599</v>
      </c>
      <c r="E670" t="str">
        <f t="shared" si="38"/>
        <v>Sell</v>
      </c>
      <c r="F670">
        <f t="shared" si="40"/>
        <v>0</v>
      </c>
      <c r="G670">
        <f t="shared" si="39"/>
        <v>0</v>
      </c>
      <c r="H670" s="12" cm="1">
        <f t="array" ref="H670">PRODUCT(1+G$2:G670)-1</f>
        <v>0.13416389569666509</v>
      </c>
      <c r="I670">
        <f>H670-MAX(H$2:H670)</f>
        <v>-3.0830875889786613E-2</v>
      </c>
      <c r="L670" s="2">
        <f t="shared" si="41"/>
        <v>0.20432915520390832</v>
      </c>
    </row>
    <row r="671" spans="1:12" x14ac:dyDescent="0.25">
      <c r="A671" s="1">
        <v>44881</v>
      </c>
      <c r="B671">
        <v>396.77999877929602</v>
      </c>
      <c r="C671">
        <v>382.91599884033201</v>
      </c>
      <c r="D671">
        <v>378.48719787597599</v>
      </c>
      <c r="E671" t="str">
        <f t="shared" si="38"/>
        <v>Sell</v>
      </c>
      <c r="F671">
        <f t="shared" si="40"/>
        <v>0</v>
      </c>
      <c r="G671">
        <f t="shared" si="39"/>
        <v>0</v>
      </c>
      <c r="H671" s="12" cm="1">
        <f t="array" ref="H671">PRODUCT(1+G$2:G671)-1</f>
        <v>0.13416389569666509</v>
      </c>
      <c r="I671">
        <f>H671-MAX(H$2:H671)</f>
        <v>-3.0830875889786613E-2</v>
      </c>
      <c r="L671" s="2">
        <f t="shared" si="41"/>
        <v>0.19120959242738172</v>
      </c>
    </row>
    <row r="672" spans="1:12" x14ac:dyDescent="0.25">
      <c r="A672" s="1">
        <v>44882</v>
      </c>
      <c r="B672">
        <v>390.45999145507801</v>
      </c>
      <c r="C672">
        <v>384.03749847412098</v>
      </c>
      <c r="D672">
        <v>378.38859741210899</v>
      </c>
      <c r="E672" t="str">
        <f t="shared" si="38"/>
        <v>Sell</v>
      </c>
      <c r="F672">
        <f t="shared" si="40"/>
        <v>0</v>
      </c>
      <c r="G672">
        <f t="shared" si="39"/>
        <v>0</v>
      </c>
      <c r="H672" s="12" cm="1">
        <f t="array" ref="H672">PRODUCT(1+G$2:G672)-1</f>
        <v>0.13416389569666509</v>
      </c>
      <c r="I672">
        <f>H672-MAX(H$2:H672)</f>
        <v>-3.0830875889786613E-2</v>
      </c>
      <c r="L672" s="2">
        <f t="shared" si="41"/>
        <v>0.17223571931890527</v>
      </c>
    </row>
    <row r="673" spans="1:12" x14ac:dyDescent="0.25">
      <c r="A673" s="1">
        <v>44883</v>
      </c>
      <c r="B673">
        <v>397.739990234375</v>
      </c>
      <c r="C673">
        <v>385.66849822998</v>
      </c>
      <c r="D673">
        <v>378.28859741210903</v>
      </c>
      <c r="E673" t="str">
        <f t="shared" si="38"/>
        <v>Sell</v>
      </c>
      <c r="F673">
        <f t="shared" si="40"/>
        <v>0</v>
      </c>
      <c r="G673">
        <f t="shared" si="39"/>
        <v>0</v>
      </c>
      <c r="H673" s="12" cm="1">
        <f t="array" ref="H673">PRODUCT(1+G$2:G673)-1</f>
        <v>0.13416389569666509</v>
      </c>
      <c r="I673">
        <f>H673-MAX(H$2:H673)</f>
        <v>-3.0830875889786613E-2</v>
      </c>
      <c r="L673" s="2">
        <f t="shared" si="41"/>
        <v>0.19409167074145139</v>
      </c>
    </row>
    <row r="674" spans="1:12" x14ac:dyDescent="0.25">
      <c r="A674" s="1">
        <v>44886</v>
      </c>
      <c r="B674">
        <v>394.64001464843699</v>
      </c>
      <c r="C674">
        <v>386.60599822998</v>
      </c>
      <c r="D674">
        <v>378.00579772949197</v>
      </c>
      <c r="E674" t="str">
        <f t="shared" si="38"/>
        <v>Sell</v>
      </c>
      <c r="F674">
        <f t="shared" si="40"/>
        <v>0</v>
      </c>
      <c r="G674">
        <f t="shared" si="39"/>
        <v>0</v>
      </c>
      <c r="H674" s="12" cm="1">
        <f t="array" ref="H674">PRODUCT(1+G$2:G674)-1</f>
        <v>0.13416389569666509</v>
      </c>
      <c r="I674">
        <f>H674-MAX(H$2:H674)</f>
        <v>-3.0830875889786613E-2</v>
      </c>
      <c r="L674" s="2">
        <f t="shared" si="41"/>
        <v>0.18478494997523132</v>
      </c>
    </row>
    <row r="675" spans="1:12" x14ac:dyDescent="0.25">
      <c r="A675" s="1">
        <v>44887</v>
      </c>
      <c r="B675">
        <v>396.63000488281199</v>
      </c>
      <c r="C675">
        <v>387.49799804687501</v>
      </c>
      <c r="D675">
        <v>377.90179809570299</v>
      </c>
      <c r="E675" t="str">
        <f t="shared" si="38"/>
        <v>Sell</v>
      </c>
      <c r="F675">
        <f t="shared" si="40"/>
        <v>0</v>
      </c>
      <c r="G675">
        <f t="shared" si="39"/>
        <v>0</v>
      </c>
      <c r="H675" s="12" cm="1">
        <f t="array" ref="H675">PRODUCT(1+G$2:G675)-1</f>
        <v>0.13416389569666509</v>
      </c>
      <c r="I675">
        <f>H675-MAX(H$2:H675)</f>
        <v>-3.0830875889786613E-2</v>
      </c>
      <c r="L675" s="2">
        <f t="shared" si="41"/>
        <v>0.19075928200637504</v>
      </c>
    </row>
    <row r="676" spans="1:12" x14ac:dyDescent="0.25">
      <c r="A676" s="1">
        <v>44888</v>
      </c>
      <c r="B676">
        <v>399.54998779296801</v>
      </c>
      <c r="C676">
        <v>388.39449768066402</v>
      </c>
      <c r="D676">
        <v>378.00339782714798</v>
      </c>
      <c r="E676" t="str">
        <f t="shared" si="38"/>
        <v>Sell</v>
      </c>
      <c r="F676">
        <f t="shared" si="40"/>
        <v>0</v>
      </c>
      <c r="G676">
        <f t="shared" si="39"/>
        <v>0</v>
      </c>
      <c r="H676" s="12" cm="1">
        <f t="array" ref="H676">PRODUCT(1+G$2:G676)-1</f>
        <v>0.13416389569666509</v>
      </c>
      <c r="I676">
        <f>H676-MAX(H$2:H676)</f>
        <v>-3.0830875889786613E-2</v>
      </c>
      <c r="L676" s="2">
        <f t="shared" si="41"/>
        <v>0.19952563026738365</v>
      </c>
    </row>
    <row r="677" spans="1:12" x14ac:dyDescent="0.25">
      <c r="A677" s="1">
        <v>44890</v>
      </c>
      <c r="B677">
        <v>401.829986572265</v>
      </c>
      <c r="C677">
        <v>389.33249664306601</v>
      </c>
      <c r="D677">
        <v>378.18079772949199</v>
      </c>
      <c r="E677" t="str">
        <f t="shared" si="38"/>
        <v>Sell</v>
      </c>
      <c r="F677">
        <f t="shared" si="40"/>
        <v>0</v>
      </c>
      <c r="G677">
        <f t="shared" si="39"/>
        <v>0</v>
      </c>
      <c r="H677" s="12" cm="1">
        <f t="array" ref="H677">PRODUCT(1+G$2:G677)-1</f>
        <v>0.13416389569666509</v>
      </c>
      <c r="I677">
        <f>H677-MAX(H$2:H677)</f>
        <v>-3.0830875889786613E-2</v>
      </c>
      <c r="L677" s="2">
        <f t="shared" si="41"/>
        <v>0.20637062352555444</v>
      </c>
    </row>
    <row r="678" spans="1:12" x14ac:dyDescent="0.25">
      <c r="A678" s="1">
        <v>44893</v>
      </c>
      <c r="B678">
        <v>399.08999633789</v>
      </c>
      <c r="C678">
        <v>390.29349670410102</v>
      </c>
      <c r="D678">
        <v>378.47979736328102</v>
      </c>
      <c r="E678" t="str">
        <f t="shared" si="38"/>
        <v>Sell</v>
      </c>
      <c r="F678">
        <f t="shared" si="40"/>
        <v>0</v>
      </c>
      <c r="G678">
        <f t="shared" si="39"/>
        <v>0</v>
      </c>
      <c r="H678" s="12" cm="1">
        <f t="array" ref="H678">PRODUCT(1+G$2:G678)-1</f>
        <v>0.13416389569666509</v>
      </c>
      <c r="I678">
        <f>H678-MAX(H$2:H678)</f>
        <v>-3.0830875889786613E-2</v>
      </c>
      <c r="L678" s="2">
        <f t="shared" si="41"/>
        <v>0.19814464776975441</v>
      </c>
    </row>
    <row r="679" spans="1:12" x14ac:dyDescent="0.25">
      <c r="A679" s="1">
        <v>44894</v>
      </c>
      <c r="B679">
        <v>396.04998779296801</v>
      </c>
      <c r="C679">
        <v>390.77399597167903</v>
      </c>
      <c r="D679">
        <v>378.75559692382802</v>
      </c>
      <c r="E679" t="str">
        <f t="shared" si="38"/>
        <v>Sell</v>
      </c>
      <c r="F679">
        <f t="shared" si="40"/>
        <v>0</v>
      </c>
      <c r="G679">
        <f t="shared" si="39"/>
        <v>0</v>
      </c>
      <c r="H679" s="12" cm="1">
        <f t="array" ref="H679">PRODUCT(1+G$2:G679)-1</f>
        <v>0.13416389569666509</v>
      </c>
      <c r="I679">
        <f>H679-MAX(H$2:H679)</f>
        <v>-3.0830875889786613E-2</v>
      </c>
      <c r="L679" s="2">
        <f t="shared" si="41"/>
        <v>0.1890179595523209</v>
      </c>
    </row>
    <row r="680" spans="1:12" x14ac:dyDescent="0.25">
      <c r="A680" s="1">
        <v>44895</v>
      </c>
      <c r="B680">
        <v>395.489990234375</v>
      </c>
      <c r="C680">
        <v>391.04149475097603</v>
      </c>
      <c r="D680">
        <v>378.96419677734298</v>
      </c>
      <c r="E680" t="str">
        <f t="shared" si="38"/>
        <v>Sell</v>
      </c>
      <c r="F680">
        <f t="shared" si="40"/>
        <v>0</v>
      </c>
      <c r="G680">
        <f t="shared" si="39"/>
        <v>0</v>
      </c>
      <c r="H680" s="12" cm="1">
        <f t="array" ref="H680">PRODUCT(1+G$2:G680)-1</f>
        <v>0.13416389569666509</v>
      </c>
      <c r="I680">
        <f>H680-MAX(H$2:H680)</f>
        <v>-3.0830875889786613E-2</v>
      </c>
      <c r="L680" s="2">
        <f t="shared" si="41"/>
        <v>0.18733673956748251</v>
      </c>
    </row>
    <row r="681" spans="1:12" x14ac:dyDescent="0.25">
      <c r="A681" s="1">
        <v>44896</v>
      </c>
      <c r="B681">
        <v>408.76998901367102</v>
      </c>
      <c r="C681">
        <v>392.28499450683501</v>
      </c>
      <c r="D681">
        <v>379.41739685058502</v>
      </c>
      <c r="E681" t="str">
        <f t="shared" si="38"/>
        <v>Sell</v>
      </c>
      <c r="F681">
        <f t="shared" si="40"/>
        <v>0</v>
      </c>
      <c r="G681">
        <f t="shared" si="39"/>
        <v>0</v>
      </c>
      <c r="H681" s="12" cm="1">
        <f t="array" ref="H681">PRODUCT(1+G$2:G681)-1</f>
        <v>0.13416389569666509</v>
      </c>
      <c r="I681">
        <f>H681-MAX(H$2:H681)</f>
        <v>-3.0830875889786613E-2</v>
      </c>
      <c r="L681" s="2">
        <f t="shared" si="41"/>
        <v>0.22720584078727613</v>
      </c>
    </row>
    <row r="682" spans="1:12" x14ac:dyDescent="0.25">
      <c r="A682" s="1">
        <v>44897</v>
      </c>
      <c r="B682">
        <v>402.25</v>
      </c>
      <c r="C682">
        <v>393.8239944458</v>
      </c>
      <c r="D682">
        <v>379.93079711913998</v>
      </c>
      <c r="E682" t="str">
        <f t="shared" si="38"/>
        <v>Sell</v>
      </c>
      <c r="F682">
        <f t="shared" si="40"/>
        <v>0</v>
      </c>
      <c r="G682">
        <f t="shared" si="39"/>
        <v>0</v>
      </c>
      <c r="H682" s="12" cm="1">
        <f t="array" ref="H682">PRODUCT(1+G$2:G682)-1</f>
        <v>0.13416389569666509</v>
      </c>
      <c r="I682">
        <f>H682-MAX(H$2:H682)</f>
        <v>-3.0830875889786613E-2</v>
      </c>
      <c r="L682" s="2">
        <f t="shared" si="41"/>
        <v>0.20763158432399562</v>
      </c>
    </row>
    <row r="683" spans="1:12" x14ac:dyDescent="0.25">
      <c r="A683" s="1">
        <v>44900</v>
      </c>
      <c r="B683">
        <v>403.95001220703102</v>
      </c>
      <c r="C683">
        <v>395.17149505615203</v>
      </c>
      <c r="D683">
        <v>380.59819763183498</v>
      </c>
      <c r="E683" t="str">
        <f t="shared" si="38"/>
        <v>Sell</v>
      </c>
      <c r="F683">
        <f t="shared" si="40"/>
        <v>0</v>
      </c>
      <c r="G683">
        <f t="shared" si="39"/>
        <v>0</v>
      </c>
      <c r="H683" s="12" cm="1">
        <f t="array" ref="H683">PRODUCT(1+G$2:G683)-1</f>
        <v>0.13416389569666509</v>
      </c>
      <c r="I683">
        <f>H683-MAX(H$2:H683)</f>
        <v>-3.0830875889786613E-2</v>
      </c>
      <c r="L683" s="2">
        <f t="shared" si="41"/>
        <v>0.21273534674772962</v>
      </c>
    </row>
    <row r="684" spans="1:12" x14ac:dyDescent="0.25">
      <c r="A684" s="1">
        <v>44901</v>
      </c>
      <c r="B684">
        <v>399.42001342773398</v>
      </c>
      <c r="C684">
        <v>396.25699615478499</v>
      </c>
      <c r="D684">
        <v>381.25839782714797</v>
      </c>
      <c r="E684" t="str">
        <f t="shared" si="38"/>
        <v>Sell</v>
      </c>
      <c r="F684">
        <f t="shared" si="40"/>
        <v>0</v>
      </c>
      <c r="G684">
        <f t="shared" si="39"/>
        <v>0</v>
      </c>
      <c r="H684" s="12" cm="1">
        <f t="array" ref="H684">PRODUCT(1+G$2:G684)-1</f>
        <v>0.13416389569666509</v>
      </c>
      <c r="I684">
        <f>H684-MAX(H$2:H684)</f>
        <v>-3.0830875889786613E-2</v>
      </c>
      <c r="L684" s="2">
        <f t="shared" si="41"/>
        <v>0.19913542231558978</v>
      </c>
    </row>
    <row r="685" spans="1:12" x14ac:dyDescent="0.25">
      <c r="A685" s="1">
        <v>44902</v>
      </c>
      <c r="B685">
        <v>392.94000244140602</v>
      </c>
      <c r="C685">
        <v>396.84849700927703</v>
      </c>
      <c r="D685">
        <v>381.756798095703</v>
      </c>
      <c r="E685" t="str">
        <f t="shared" si="38"/>
        <v>Sell</v>
      </c>
      <c r="F685">
        <f t="shared" si="40"/>
        <v>0</v>
      </c>
      <c r="G685">
        <f t="shared" si="39"/>
        <v>0</v>
      </c>
      <c r="H685" s="12" cm="1">
        <f t="array" ref="H685">PRODUCT(1+G$2:G685)-1</f>
        <v>0.13416389569666509</v>
      </c>
      <c r="I685">
        <f>H685-MAX(H$2:H685)</f>
        <v>-3.0830875889786613E-2</v>
      </c>
      <c r="L685" s="2">
        <f t="shared" si="41"/>
        <v>0.17968118755149748</v>
      </c>
    </row>
    <row r="686" spans="1:12" x14ac:dyDescent="0.25">
      <c r="A686" s="1">
        <v>44903</v>
      </c>
      <c r="B686">
        <v>395.14001464843699</v>
      </c>
      <c r="C686">
        <v>397.60899810791</v>
      </c>
      <c r="D686">
        <v>382.37199829101502</v>
      </c>
      <c r="E686" t="str">
        <f t="shared" si="38"/>
        <v>Sell</v>
      </c>
      <c r="F686">
        <f t="shared" si="40"/>
        <v>0</v>
      </c>
      <c r="G686">
        <f t="shared" si="39"/>
        <v>0</v>
      </c>
      <c r="H686" s="12" cm="1">
        <f t="array" ref="H686">PRODUCT(1+G$2:G686)-1</f>
        <v>0.13416389569666509</v>
      </c>
      <c r="I686">
        <f>H686-MAX(H$2:H686)</f>
        <v>-3.0830875889786613E-2</v>
      </c>
      <c r="L686" s="2">
        <f t="shared" si="41"/>
        <v>0.18628604579166885</v>
      </c>
    </row>
    <row r="687" spans="1:12" x14ac:dyDescent="0.25">
      <c r="A687" s="1">
        <v>44904</v>
      </c>
      <c r="B687">
        <v>394.94000244140602</v>
      </c>
      <c r="C687">
        <v>397.95349884033197</v>
      </c>
      <c r="D687">
        <v>382.93459838867102</v>
      </c>
      <c r="E687" t="str">
        <f t="shared" si="38"/>
        <v>Hold</v>
      </c>
      <c r="F687">
        <f t="shared" si="40"/>
        <v>0</v>
      </c>
      <c r="G687">
        <f t="shared" si="39"/>
        <v>0</v>
      </c>
      <c r="H687" s="12" cm="1">
        <f t="array" ref="H687">PRODUCT(1+G$2:G687)-1</f>
        <v>0.13416389569666509</v>
      </c>
      <c r="I687">
        <f>H687-MAX(H$2:H687)</f>
        <v>-3.0830875889786613E-2</v>
      </c>
      <c r="L687" s="2">
        <f t="shared" si="41"/>
        <v>0.18568557081724762</v>
      </c>
    </row>
    <row r="688" spans="1:12" x14ac:dyDescent="0.25">
      <c r="A688" s="1">
        <v>44907</v>
      </c>
      <c r="B688">
        <v>394.10998535156199</v>
      </c>
      <c r="C688">
        <v>397.87949829101501</v>
      </c>
      <c r="D688">
        <v>383.580798339843</v>
      </c>
      <c r="E688" t="str">
        <f t="shared" si="38"/>
        <v>Sell</v>
      </c>
      <c r="F688">
        <f t="shared" si="40"/>
        <v>0</v>
      </c>
      <c r="G688">
        <f t="shared" si="39"/>
        <v>0</v>
      </c>
      <c r="H688" s="12" cm="1">
        <f t="array" ref="H688">PRODUCT(1+G$2:G688)-1</f>
        <v>0.13416389569666509</v>
      </c>
      <c r="I688">
        <f>H688-MAX(H$2:H688)</f>
        <v>-3.0830875889786613E-2</v>
      </c>
      <c r="L688" s="2">
        <f t="shared" si="41"/>
        <v>0.18319370045497455</v>
      </c>
    </row>
    <row r="689" spans="1:12" x14ac:dyDescent="0.25">
      <c r="A689" s="1">
        <v>44908</v>
      </c>
      <c r="B689">
        <v>410.22000122070301</v>
      </c>
      <c r="C689">
        <v>398.55749816894502</v>
      </c>
      <c r="D689">
        <v>384.56359863281199</v>
      </c>
      <c r="E689" t="str">
        <f t="shared" si="38"/>
        <v>Sell</v>
      </c>
      <c r="F689">
        <f t="shared" si="40"/>
        <v>0</v>
      </c>
      <c r="G689">
        <f t="shared" si="39"/>
        <v>0</v>
      </c>
      <c r="H689" s="12" cm="1">
        <f t="array" ref="H689">PRODUCT(1+G$2:G689)-1</f>
        <v>0.13416389569666509</v>
      </c>
      <c r="I689">
        <f>H689-MAX(H$2:H689)</f>
        <v>-3.0830875889786613E-2</v>
      </c>
      <c r="L689" s="2">
        <f t="shared" si="41"/>
        <v>0.23155905530279428</v>
      </c>
    </row>
    <row r="690" spans="1:12" x14ac:dyDescent="0.25">
      <c r="A690" s="1">
        <v>44909</v>
      </c>
      <c r="B690">
        <v>401.60998535156199</v>
      </c>
      <c r="C690">
        <v>398.58049774169899</v>
      </c>
      <c r="D690">
        <v>385.14779846191402</v>
      </c>
      <c r="E690" t="str">
        <f t="shared" si="38"/>
        <v>Hold</v>
      </c>
      <c r="F690">
        <f t="shared" si="40"/>
        <v>0</v>
      </c>
      <c r="G690">
        <f t="shared" si="39"/>
        <v>0</v>
      </c>
      <c r="H690" s="12" cm="1">
        <f t="array" ref="H690">PRODUCT(1+G$2:G690)-1</f>
        <v>0.13416389569666509</v>
      </c>
      <c r="I690">
        <f>H690-MAX(H$2:H690)</f>
        <v>-3.0830875889786613E-2</v>
      </c>
      <c r="L690" s="2">
        <f t="shared" si="41"/>
        <v>0.20571013770153754</v>
      </c>
    </row>
    <row r="691" spans="1:12" x14ac:dyDescent="0.25">
      <c r="A691" s="1">
        <v>44910</v>
      </c>
      <c r="B691">
        <v>394.29998779296801</v>
      </c>
      <c r="C691">
        <v>398.45649719238202</v>
      </c>
      <c r="D691">
        <v>385.56599792480398</v>
      </c>
      <c r="E691" t="str">
        <f t="shared" si="38"/>
        <v>Hold</v>
      </c>
      <c r="F691">
        <f t="shared" si="40"/>
        <v>0</v>
      </c>
      <c r="G691">
        <f t="shared" si="39"/>
        <v>0</v>
      </c>
      <c r="H691" s="12" cm="1">
        <f t="array" ref="H691">PRODUCT(1+G$2:G691)-1</f>
        <v>0.13416389569666509</v>
      </c>
      <c r="I691">
        <f>H691-MAX(H$2:H691)</f>
        <v>-3.0830875889786613E-2</v>
      </c>
      <c r="L691" s="2">
        <f t="shared" si="41"/>
        <v>0.18376412419478955</v>
      </c>
    </row>
    <row r="692" spans="1:12" x14ac:dyDescent="0.25">
      <c r="A692" s="1">
        <v>44911</v>
      </c>
      <c r="B692">
        <v>385.17999267578102</v>
      </c>
      <c r="C692">
        <v>398.192497253417</v>
      </c>
      <c r="D692">
        <v>385.75719787597598</v>
      </c>
      <c r="E692" t="str">
        <f t="shared" si="38"/>
        <v>Hold</v>
      </c>
      <c r="F692">
        <f t="shared" si="40"/>
        <v>0</v>
      </c>
      <c r="G692">
        <f t="shared" si="39"/>
        <v>0</v>
      </c>
      <c r="H692" s="12" cm="1">
        <f t="array" ref="H692">PRODUCT(1+G$2:G692)-1</f>
        <v>0.13416389569666509</v>
      </c>
      <c r="I692">
        <f>H692-MAX(H$2:H692)</f>
        <v>-3.0830875889786613E-2</v>
      </c>
      <c r="L692" s="2">
        <f t="shared" si="41"/>
        <v>0.1563841511621093</v>
      </c>
    </row>
    <row r="693" spans="1:12" x14ac:dyDescent="0.25">
      <c r="A693" s="1">
        <v>44914</v>
      </c>
      <c r="B693">
        <v>383.47000122070301</v>
      </c>
      <c r="C693">
        <v>397.478997802734</v>
      </c>
      <c r="D693">
        <v>386.047197875976</v>
      </c>
      <c r="E693" t="str">
        <f t="shared" si="38"/>
        <v>Hold</v>
      </c>
      <c r="F693">
        <f t="shared" si="40"/>
        <v>0</v>
      </c>
      <c r="G693">
        <f t="shared" si="39"/>
        <v>0</v>
      </c>
      <c r="H693" s="12" cm="1">
        <f t="array" ref="H693">PRODUCT(1+G$2:G693)-1</f>
        <v>0.13416389569666509</v>
      </c>
      <c r="I693">
        <f>H693-MAX(H$2:H693)</f>
        <v>-3.0830875889786613E-2</v>
      </c>
      <c r="L693" s="2">
        <f t="shared" si="41"/>
        <v>0.15125042912338624</v>
      </c>
    </row>
    <row r="694" spans="1:12" x14ac:dyDescent="0.25">
      <c r="A694" s="1">
        <v>44915</v>
      </c>
      <c r="B694">
        <v>379.23001098632801</v>
      </c>
      <c r="C694">
        <v>396.70849761962802</v>
      </c>
      <c r="D694">
        <v>386.35259826660098</v>
      </c>
      <c r="E694" t="str">
        <f t="shared" si="38"/>
        <v>Hold</v>
      </c>
      <c r="F694">
        <f t="shared" si="40"/>
        <v>0</v>
      </c>
      <c r="G694">
        <f t="shared" si="39"/>
        <v>0</v>
      </c>
      <c r="H694" s="12" cm="1">
        <f t="array" ref="H694">PRODUCT(1+G$2:G694)-1</f>
        <v>0.13416389569666509</v>
      </c>
      <c r="I694">
        <f>H694-MAX(H$2:H694)</f>
        <v>-3.0830875889786613E-2</v>
      </c>
      <c r="L694" s="2">
        <f t="shared" si="41"/>
        <v>0.13852116591827363</v>
      </c>
    </row>
    <row r="695" spans="1:12" x14ac:dyDescent="0.25">
      <c r="A695" s="1">
        <v>44916</v>
      </c>
      <c r="B695">
        <v>383.25</v>
      </c>
      <c r="C695">
        <v>396.039497375488</v>
      </c>
      <c r="D695">
        <v>386.85279846191401</v>
      </c>
      <c r="E695" t="str">
        <f t="shared" si="38"/>
        <v>Hold</v>
      </c>
      <c r="F695">
        <f t="shared" si="40"/>
        <v>0</v>
      </c>
      <c r="G695">
        <f t="shared" si="39"/>
        <v>0</v>
      </c>
      <c r="H695" s="12" cm="1">
        <f t="array" ref="H695">PRODUCT(1+G$2:G695)-1</f>
        <v>0.13416389569666509</v>
      </c>
      <c r="I695">
        <f>H695-MAX(H$2:H695)</f>
        <v>-3.0830875889786613E-2</v>
      </c>
      <c r="L695" s="2">
        <f t="shared" si="41"/>
        <v>0.15058994329936934</v>
      </c>
    </row>
    <row r="696" spans="1:12" x14ac:dyDescent="0.25">
      <c r="A696" s="1">
        <v>44917</v>
      </c>
      <c r="B696">
        <v>383.04998779296801</v>
      </c>
      <c r="C696">
        <v>395.21449737548801</v>
      </c>
      <c r="D696">
        <v>387.35039794921801</v>
      </c>
      <c r="E696" t="str">
        <f t="shared" si="38"/>
        <v>Hold</v>
      </c>
      <c r="F696">
        <f t="shared" si="40"/>
        <v>0</v>
      </c>
      <c r="G696">
        <f t="shared" si="39"/>
        <v>0</v>
      </c>
      <c r="H696" s="12" cm="1">
        <f t="array" ref="H696">PRODUCT(1+G$2:G696)-1</f>
        <v>0.13416389569666509</v>
      </c>
      <c r="I696">
        <f>H696-MAX(H$2:H696)</f>
        <v>-3.0830875889786613E-2</v>
      </c>
      <c r="L696" s="2">
        <f t="shared" si="41"/>
        <v>0.14998946832494503</v>
      </c>
    </row>
    <row r="697" spans="1:12" x14ac:dyDescent="0.25">
      <c r="A697" s="1">
        <v>44918</v>
      </c>
      <c r="B697">
        <v>379.64999389648398</v>
      </c>
      <c r="C697">
        <v>394.10549774169903</v>
      </c>
      <c r="D697">
        <v>387.95919799804602</v>
      </c>
      <c r="E697" t="str">
        <f t="shared" si="38"/>
        <v>Hold</v>
      </c>
      <c r="F697">
        <f t="shared" si="40"/>
        <v>0</v>
      </c>
      <c r="G697">
        <f t="shared" si="39"/>
        <v>0</v>
      </c>
      <c r="H697" s="12" cm="1">
        <f t="array" ref="H697">PRODUCT(1+G$2:G697)-1</f>
        <v>0.13416389569666509</v>
      </c>
      <c r="I697">
        <f>H697-MAX(H$2:H697)</f>
        <v>-3.0830875889786613E-2</v>
      </c>
      <c r="L697" s="2">
        <f t="shared" si="41"/>
        <v>0.13978203509709439</v>
      </c>
    </row>
    <row r="698" spans="1:12" x14ac:dyDescent="0.25">
      <c r="A698" s="1">
        <v>44922</v>
      </c>
      <c r="B698">
        <v>382.79000854492102</v>
      </c>
      <c r="C698">
        <v>393.29049835205001</v>
      </c>
      <c r="D698">
        <v>388.24399841308502</v>
      </c>
      <c r="E698" t="str">
        <f t="shared" si="38"/>
        <v>Hold</v>
      </c>
      <c r="F698">
        <f t="shared" si="40"/>
        <v>0</v>
      </c>
      <c r="G698">
        <f t="shared" si="39"/>
        <v>0</v>
      </c>
      <c r="H698" s="12" cm="1">
        <f t="array" ref="H698">PRODUCT(1+G$2:G698)-1</f>
        <v>0.13416389569666509</v>
      </c>
      <c r="I698">
        <f>H698-MAX(H$2:H698)</f>
        <v>-3.0830875889786613E-2</v>
      </c>
      <c r="L698" s="2">
        <f t="shared" si="41"/>
        <v>0.14920896080173721</v>
      </c>
    </row>
    <row r="699" spans="1:12" x14ac:dyDescent="0.25">
      <c r="A699" s="1">
        <v>44923</v>
      </c>
      <c r="B699">
        <v>381.329986572265</v>
      </c>
      <c r="C699">
        <v>392.55449829101502</v>
      </c>
      <c r="D699">
        <v>388.59039794921802</v>
      </c>
      <c r="E699" t="str">
        <f t="shared" si="38"/>
        <v>Hold</v>
      </c>
      <c r="F699">
        <f t="shared" si="40"/>
        <v>0</v>
      </c>
      <c r="G699">
        <f t="shared" si="39"/>
        <v>0</v>
      </c>
      <c r="H699" s="12" cm="1">
        <f t="array" ref="H699">PRODUCT(1+G$2:G699)-1</f>
        <v>0.13416389569666509</v>
      </c>
      <c r="I699">
        <f>H699-MAX(H$2:H699)</f>
        <v>-3.0830875889786613E-2</v>
      </c>
      <c r="L699" s="2">
        <f t="shared" si="41"/>
        <v>0.14482569505161555</v>
      </c>
    </row>
    <row r="700" spans="1:12" x14ac:dyDescent="0.25">
      <c r="A700" s="1">
        <v>44924</v>
      </c>
      <c r="B700">
        <v>379.63000488281199</v>
      </c>
      <c r="C700">
        <v>391.76149902343701</v>
      </c>
      <c r="D700">
        <v>388.68039794921799</v>
      </c>
      <c r="E700" t="str">
        <f t="shared" si="38"/>
        <v>Hold</v>
      </c>
      <c r="F700">
        <f t="shared" si="40"/>
        <v>0</v>
      </c>
      <c r="G700">
        <f t="shared" si="39"/>
        <v>0</v>
      </c>
      <c r="H700" s="12" cm="1">
        <f t="array" ref="H700">PRODUCT(1+G$2:G700)-1</f>
        <v>0.13416389569666509</v>
      </c>
      <c r="I700">
        <f>H700-MAX(H$2:H700)</f>
        <v>-3.0830875889786613E-2</v>
      </c>
      <c r="L700" s="2">
        <f t="shared" si="41"/>
        <v>0.13972202424749891</v>
      </c>
    </row>
    <row r="701" spans="1:12" x14ac:dyDescent="0.25">
      <c r="A701" s="1">
        <v>44925</v>
      </c>
      <c r="B701">
        <v>380.64001464843699</v>
      </c>
      <c r="C701">
        <v>390.355000305175</v>
      </c>
      <c r="D701">
        <v>388.91339843750001</v>
      </c>
      <c r="E701" t="str">
        <f t="shared" si="38"/>
        <v>Hold</v>
      </c>
      <c r="F701">
        <f t="shared" si="40"/>
        <v>0</v>
      </c>
      <c r="G701">
        <f t="shared" si="39"/>
        <v>0</v>
      </c>
      <c r="H701" s="12" cm="1">
        <f t="array" ref="H701">PRODUCT(1+G$2:G701)-1</f>
        <v>0.13416389569666509</v>
      </c>
      <c r="I701">
        <f>H701-MAX(H$2:H701)</f>
        <v>-3.0830875889786613E-2</v>
      </c>
      <c r="L701" s="2">
        <f t="shared" si="41"/>
        <v>0.14275426711498038</v>
      </c>
    </row>
    <row r="702" spans="1:12" x14ac:dyDescent="0.25">
      <c r="A702" s="1">
        <v>44929</v>
      </c>
      <c r="B702">
        <v>384.36999511718699</v>
      </c>
      <c r="C702">
        <v>389.46100006103501</v>
      </c>
      <c r="D702">
        <v>389.24019836425703</v>
      </c>
      <c r="E702" t="str">
        <f t="shared" si="38"/>
        <v>Buy</v>
      </c>
      <c r="F702">
        <f t="shared" si="40"/>
        <v>1</v>
      </c>
      <c r="G702">
        <f t="shared" si="39"/>
        <v>-3.0959816232355936E-3</v>
      </c>
      <c r="H702" s="12" cm="1">
        <f t="array" ref="H702">PRODUCT(1+G$2:G702)-1</f>
        <v>0.13065254511785107</v>
      </c>
      <c r="I702">
        <f>H702-MAX(H$2:H702)</f>
        <v>-3.4342226468600634E-2</v>
      </c>
      <c r="L702" s="2">
        <f t="shared" si="41"/>
        <v>0.15395238326904906</v>
      </c>
    </row>
    <row r="703" spans="1:12" x14ac:dyDescent="0.25">
      <c r="A703" s="1">
        <v>44930</v>
      </c>
      <c r="B703">
        <v>383.17999267578102</v>
      </c>
      <c r="C703">
        <v>388.42249908447201</v>
      </c>
      <c r="D703">
        <v>389.60139831542898</v>
      </c>
      <c r="E703" t="str">
        <f t="shared" si="38"/>
        <v>Buy</v>
      </c>
      <c r="F703">
        <f t="shared" si="40"/>
        <v>1</v>
      </c>
      <c r="G703">
        <f t="shared" si="39"/>
        <v>-3.8101975128783661E-3</v>
      </c>
      <c r="H703" s="12" cm="1">
        <f t="array" ref="H703">PRODUCT(1+G$2:G703)-1</f>
        <v>0.12634453560251346</v>
      </c>
      <c r="I703">
        <f>H703-MAX(H$2:H703)</f>
        <v>-3.8650235983938241E-2</v>
      </c>
      <c r="L703" s="2">
        <f t="shared" si="41"/>
        <v>0.15037976789635918</v>
      </c>
    </row>
    <row r="704" spans="1:12" x14ac:dyDescent="0.25">
      <c r="A704" s="1">
        <v>44931</v>
      </c>
      <c r="B704">
        <v>381.72000122070301</v>
      </c>
      <c r="C704">
        <v>387.53749847412098</v>
      </c>
      <c r="D704">
        <v>389.71799804687402</v>
      </c>
      <c r="E704" t="str">
        <f t="shared" si="38"/>
        <v>Buy</v>
      </c>
      <c r="F704">
        <f t="shared" si="40"/>
        <v>1</v>
      </c>
      <c r="G704">
        <f t="shared" si="39"/>
        <v>2.3315103426933236E-3</v>
      </c>
      <c r="H704" s="12" cm="1">
        <f t="array" ref="H704">PRODUCT(1+G$2:G704)-1</f>
        <v>0.12897061953670685</v>
      </c>
      <c r="I704">
        <f>H704-MAX(H$2:H704)</f>
        <v>-3.6024152049744851E-2</v>
      </c>
      <c r="L704" s="2">
        <f t="shared" si="41"/>
        <v>0.14599659376585486</v>
      </c>
    </row>
    <row r="705" spans="1:12" x14ac:dyDescent="0.25">
      <c r="A705" s="1">
        <v>44932</v>
      </c>
      <c r="B705">
        <v>382.60998535156199</v>
      </c>
      <c r="C705">
        <v>387.02099761962802</v>
      </c>
      <c r="D705">
        <v>389.79439758300703</v>
      </c>
      <c r="E705" t="str">
        <f t="shared" si="38"/>
        <v>Buy</v>
      </c>
      <c r="F705">
        <f t="shared" si="40"/>
        <v>1</v>
      </c>
      <c r="G705">
        <f t="shared" si="39"/>
        <v>2.0281775339696634E-2</v>
      </c>
      <c r="H705" s="12" cm="1">
        <f t="array" ref="H705">PRODUCT(1+G$2:G705)-1</f>
        <v>0.15186814800726856</v>
      </c>
      <c r="I705">
        <f>H705-MAX(H$2:H705)</f>
        <v>-1.312662357918315E-2</v>
      </c>
      <c r="L705" s="2">
        <f t="shared" si="41"/>
        <v>0.14866849667691129</v>
      </c>
    </row>
    <row r="706" spans="1:12" x14ac:dyDescent="0.25">
      <c r="A706" s="1">
        <v>44935</v>
      </c>
      <c r="B706">
        <v>390.36999511718699</v>
      </c>
      <c r="C706">
        <v>386.782496643066</v>
      </c>
      <c r="D706">
        <v>389.96939758300698</v>
      </c>
      <c r="E706" t="str">
        <f t="shared" si="38"/>
        <v>Buy</v>
      </c>
      <c r="F706">
        <f t="shared" si="40"/>
        <v>1</v>
      </c>
      <c r="G706">
        <f t="shared" si="39"/>
        <v>-7.9924050419151252E-3</v>
      </c>
      <c r="H706" s="12" cm="1">
        <f t="array" ref="H706">PRODUCT(1+G$2:G706)-1</f>
        <v>0.14266195121351388</v>
      </c>
      <c r="I706">
        <f>H706-MAX(H$2:H706)</f>
        <v>-2.2332820372937823E-2</v>
      </c>
      <c r="L706" s="2">
        <f t="shared" si="41"/>
        <v>0.17196553306629947</v>
      </c>
    </row>
    <row r="707" spans="1:12" x14ac:dyDescent="0.25">
      <c r="A707" s="1">
        <v>44936</v>
      </c>
      <c r="B707">
        <v>387.25</v>
      </c>
      <c r="C707">
        <v>386.397996520996</v>
      </c>
      <c r="D707">
        <v>390.05299743652301</v>
      </c>
      <c r="E707" t="str">
        <f t="shared" ref="E707:E770" si="42">IF(OR(ISBLANK(C707),ISBLANK(D707),ISBLANK(C708),ISBLANK(D708)), "Hold", IF(AND(C707&gt;C708,C708&lt;=D708), "Buy", IF(AND(C707&lt;C708,C708&gt;=D708), "Sell", "Hold")))</f>
        <v>Buy</v>
      </c>
      <c r="F707">
        <f t="shared" si="40"/>
        <v>1</v>
      </c>
      <c r="G707">
        <f t="shared" ref="G707:G770" si="43">IF(F707=1,(B708-B707)/B707,0)</f>
        <v>1.2859937989226628E-2</v>
      </c>
      <c r="H707" s="12" cm="1">
        <f t="array" ref="H707">PRODUCT(1+G$2:G707)-1</f>
        <v>0.15735651304876841</v>
      </c>
      <c r="I707">
        <f>H707-MAX(H$2:H707)</f>
        <v>-7.6382585376832957E-3</v>
      </c>
      <c r="L707" s="2">
        <f t="shared" si="41"/>
        <v>0.16259870983086963</v>
      </c>
    </row>
    <row r="708" spans="1:12" x14ac:dyDescent="0.25">
      <c r="A708" s="1">
        <v>44937</v>
      </c>
      <c r="B708">
        <v>392.23001098632801</v>
      </c>
      <c r="C708">
        <v>386.30399780273399</v>
      </c>
      <c r="D708">
        <v>390.30019775390599</v>
      </c>
      <c r="E708" t="str">
        <f t="shared" si="42"/>
        <v>Buy</v>
      </c>
      <c r="F708">
        <f t="shared" ref="F708:F771" si="44">IF(E708="Buy",1, IF(E708="Sell",0,F707))</f>
        <v>1</v>
      </c>
      <c r="G708">
        <f t="shared" si="43"/>
        <v>1.1319894748086298E-2</v>
      </c>
      <c r="H708" s="12" cm="1">
        <f t="array" ref="H708">PRODUCT(1+G$2:G708)-1</f>
        <v>0.17045766696249265</v>
      </c>
      <c r="I708">
        <f>H708-MAX(H$2:H708)</f>
        <v>0</v>
      </c>
      <c r="L708" s="2">
        <f t="shared" si="41"/>
        <v>0.17754965714564949</v>
      </c>
    </row>
    <row r="709" spans="1:12" x14ac:dyDescent="0.25">
      <c r="A709" s="1">
        <v>44938</v>
      </c>
      <c r="B709">
        <v>396.67001342773398</v>
      </c>
      <c r="C709">
        <v>385.62649841308502</v>
      </c>
      <c r="D709">
        <v>390.50479797363198</v>
      </c>
      <c r="E709" t="str">
        <f t="shared" si="42"/>
        <v>Buy</v>
      </c>
      <c r="F709">
        <f t="shared" si="44"/>
        <v>1</v>
      </c>
      <c r="G709">
        <f t="shared" si="43"/>
        <v>-7.6890569170856831E-3</v>
      </c>
      <c r="H709" s="12" cm="1">
        <f t="array" ref="H709">PRODUCT(1+G$2:G709)-1</f>
        <v>0.16145795134217877</v>
      </c>
      <c r="I709">
        <f>H709-MAX(H$2:H709)</f>
        <v>-8.9997156203138751E-3</v>
      </c>
      <c r="L709" s="2">
        <f t="shared" si="41"/>
        <v>0.19087939532518333</v>
      </c>
    </row>
    <row r="710" spans="1:12" x14ac:dyDescent="0.25">
      <c r="A710" s="1">
        <v>44939</v>
      </c>
      <c r="B710">
        <v>393.61999511718699</v>
      </c>
      <c r="C710">
        <v>385.22699890136698</v>
      </c>
      <c r="D710">
        <v>390.574397583007</v>
      </c>
      <c r="E710" t="str">
        <f t="shared" si="42"/>
        <v>Hold</v>
      </c>
      <c r="F710">
        <f t="shared" si="44"/>
        <v>1</v>
      </c>
      <c r="G710">
        <f t="shared" si="43"/>
        <v>1.2346974059826708E-2</v>
      </c>
      <c r="H710" s="12" cm="1">
        <f t="array" ref="H710">PRODUCT(1+G$2:G710)-1</f>
        <v>0.17579844253898025</v>
      </c>
      <c r="I710">
        <f>H710-MAX(H$2:H710)</f>
        <v>0</v>
      </c>
      <c r="L710" s="2">
        <f t="shared" si="41"/>
        <v>0.18172265587314343</v>
      </c>
    </row>
    <row r="711" spans="1:12" x14ac:dyDescent="0.25">
      <c r="A711" s="1">
        <v>44943</v>
      </c>
      <c r="B711">
        <v>398.48001098632801</v>
      </c>
      <c r="C711">
        <v>385.43600006103497</v>
      </c>
      <c r="D711">
        <v>390.86599792480399</v>
      </c>
      <c r="E711" t="str">
        <f t="shared" si="42"/>
        <v>Hold</v>
      </c>
      <c r="F711">
        <f t="shared" si="44"/>
        <v>1</v>
      </c>
      <c r="G711">
        <f t="shared" si="43"/>
        <v>1.3300511059140007E-3</v>
      </c>
      <c r="H711" s="12" cm="1">
        <f t="array" ref="H711">PRODUCT(1+G$2:G711)-1</f>
        <v>0.17736231455781115</v>
      </c>
      <c r="I711">
        <f>H711-MAX(H$2:H711)</f>
        <v>0</v>
      </c>
      <c r="L711" s="2">
        <f t="shared" ref="L711:L774" si="45">(B711-B$134)/B$134</f>
        <v>0.19631335485111864</v>
      </c>
    </row>
    <row r="712" spans="1:12" x14ac:dyDescent="0.25">
      <c r="A712" s="1">
        <v>44944</v>
      </c>
      <c r="B712">
        <v>399.010009765625</v>
      </c>
      <c r="C712">
        <v>386.12750091552698</v>
      </c>
      <c r="D712">
        <v>391.41679809570297</v>
      </c>
      <c r="E712" t="str">
        <f t="shared" si="42"/>
        <v>Hold</v>
      </c>
      <c r="F712">
        <f t="shared" si="44"/>
        <v>1</v>
      </c>
      <c r="G712">
        <f t="shared" si="43"/>
        <v>-2.4184918117045113E-2</v>
      </c>
      <c r="H712" s="12" cm="1">
        <f t="array" ref="H712">PRODUCT(1+G$2:G712)-1</f>
        <v>0.14888790338613567</v>
      </c>
      <c r="I712">
        <f>H712-MAX(H$2:H712)</f>
        <v>-2.8474411171675484E-2</v>
      </c>
      <c r="L712" s="2">
        <f t="shared" si="45"/>
        <v>0.19790451275175808</v>
      </c>
    </row>
    <row r="713" spans="1:12" x14ac:dyDescent="0.25">
      <c r="A713" s="1">
        <v>44945</v>
      </c>
      <c r="B713">
        <v>389.35998535156199</v>
      </c>
      <c r="C713">
        <v>386.42200012207002</v>
      </c>
      <c r="D713">
        <v>391.663997802734</v>
      </c>
      <c r="E713" t="str">
        <f t="shared" si="42"/>
        <v>Hold</v>
      </c>
      <c r="F713">
        <f t="shared" si="44"/>
        <v>1</v>
      </c>
      <c r="G713">
        <f t="shared" si="43"/>
        <v>1.9006081256265452E-3</v>
      </c>
      <c r="H713" s="12" cm="1">
        <f t="array" ref="H713">PRODUCT(1+G$2:G713)-1</f>
        <v>0.15107148907074541</v>
      </c>
      <c r="I713">
        <f>H713-MAX(H$2:H713)</f>
        <v>-2.6290825487065739E-2</v>
      </c>
      <c r="L713" s="2">
        <f t="shared" si="45"/>
        <v>0.16893329019881798</v>
      </c>
    </row>
    <row r="714" spans="1:12" x14ac:dyDescent="0.25">
      <c r="A714" s="1">
        <v>44946</v>
      </c>
      <c r="B714">
        <v>390.100006103515</v>
      </c>
      <c r="C714">
        <v>386.96549987792901</v>
      </c>
      <c r="D714">
        <v>391.91179809570298</v>
      </c>
      <c r="E714" t="str">
        <f t="shared" si="42"/>
        <v>Hold</v>
      </c>
      <c r="F714">
        <f t="shared" si="44"/>
        <v>1</v>
      </c>
      <c r="G714">
        <f t="shared" si="43"/>
        <v>1.696999490800152E-2</v>
      </c>
      <c r="H714" s="12" cm="1">
        <f t="array" ref="H714">PRODUCT(1+G$2:G714)-1</f>
        <v>0.17060516637902179</v>
      </c>
      <c r="I714">
        <f>H714-MAX(H$2:H714)</f>
        <v>-6.7571481787893628E-3</v>
      </c>
      <c r="L714" s="2">
        <f t="shared" si="45"/>
        <v>0.17115497430848522</v>
      </c>
    </row>
    <row r="715" spans="1:12" x14ac:dyDescent="0.25">
      <c r="A715" s="1">
        <v>44949</v>
      </c>
      <c r="B715">
        <v>396.72000122070301</v>
      </c>
      <c r="C715">
        <v>387.63899993896399</v>
      </c>
      <c r="D715">
        <v>392.22399841308498</v>
      </c>
      <c r="E715" t="str">
        <f t="shared" si="42"/>
        <v>Hold</v>
      </c>
      <c r="F715">
        <f t="shared" si="44"/>
        <v>1</v>
      </c>
      <c r="G715">
        <f t="shared" si="43"/>
        <v>5.4446553122168527E-3</v>
      </c>
      <c r="H715" s="12" cm="1">
        <f t="array" ref="H715">PRODUCT(1+G$2:G715)-1</f>
        <v>0.17697870801665583</v>
      </c>
      <c r="I715">
        <f>H715-MAX(H$2:H715)</f>
        <v>-3.8360654115532355E-4</v>
      </c>
      <c r="L715" s="2">
        <f t="shared" si="45"/>
        <v>0.19102946825898087</v>
      </c>
    </row>
    <row r="716" spans="1:12" x14ac:dyDescent="0.25">
      <c r="A716" s="1">
        <v>44950</v>
      </c>
      <c r="B716">
        <v>398.88000488281199</v>
      </c>
      <c r="C716">
        <v>388.43050079345699</v>
      </c>
      <c r="D716">
        <v>392.60299865722601</v>
      </c>
      <c r="E716" t="str">
        <f t="shared" si="42"/>
        <v>Hold</v>
      </c>
      <c r="F716">
        <f t="shared" si="44"/>
        <v>1</v>
      </c>
      <c r="G716">
        <f t="shared" si="43"/>
        <v>-7.3455491373697109E-3</v>
      </c>
      <c r="H716" s="12" cm="1">
        <f t="array" ref="H716">PRODUCT(1+G$2:G716)-1</f>
        <v>0.16833315308328145</v>
      </c>
      <c r="I716">
        <f>H716-MAX(H$2:H716)</f>
        <v>-9.0291614745297011E-3</v>
      </c>
      <c r="L716" s="2">
        <f t="shared" si="45"/>
        <v>0.19751421318034396</v>
      </c>
    </row>
    <row r="717" spans="1:12" x14ac:dyDescent="0.25">
      <c r="A717" s="1">
        <v>44951</v>
      </c>
      <c r="B717">
        <v>395.95001220703102</v>
      </c>
      <c r="C717">
        <v>389.24550170898402</v>
      </c>
      <c r="D717">
        <v>392.76099914550701</v>
      </c>
      <c r="E717" t="str">
        <f t="shared" si="42"/>
        <v>Hold</v>
      </c>
      <c r="F717">
        <f t="shared" si="44"/>
        <v>1</v>
      </c>
      <c r="G717">
        <f t="shared" si="43"/>
        <v>1.8133583670725463E-2</v>
      </c>
      <c r="H717" s="12" cm="1">
        <f t="array" ref="H717">PRODUCT(1+G$2:G717)-1</f>
        <v>0.18951922006999955</v>
      </c>
      <c r="I717">
        <f>H717-MAX(H$2:H717)</f>
        <v>0</v>
      </c>
      <c r="L717" s="2">
        <f t="shared" si="45"/>
        <v>0.18871781368472909</v>
      </c>
    </row>
    <row r="718" spans="1:12" x14ac:dyDescent="0.25">
      <c r="A718" s="1">
        <v>44952</v>
      </c>
      <c r="B718">
        <v>403.13000488281199</v>
      </c>
      <c r="C718">
        <v>390.26250152587801</v>
      </c>
      <c r="D718">
        <v>392.91179931640602</v>
      </c>
      <c r="E718" t="str">
        <f t="shared" si="42"/>
        <v>Hold</v>
      </c>
      <c r="F718">
        <f t="shared" si="44"/>
        <v>1</v>
      </c>
      <c r="G718">
        <f t="shared" si="43"/>
        <v>1.314709331673431E-3</v>
      </c>
      <c r="H718" s="12" cm="1">
        <f t="array" ref="H718">PRODUCT(1+G$2:G718)-1</f>
        <v>0.19108309208883045</v>
      </c>
      <c r="I718">
        <f>H718-MAX(H$2:H718)</f>
        <v>0</v>
      </c>
      <c r="L718" s="2">
        <f t="shared" si="45"/>
        <v>0.21027352762006299</v>
      </c>
    </row>
    <row r="719" spans="1:12" x14ac:dyDescent="0.25">
      <c r="A719" s="1">
        <v>44953</v>
      </c>
      <c r="B719">
        <v>403.66000366210898</v>
      </c>
      <c r="C719">
        <v>391.37900238037099</v>
      </c>
      <c r="D719">
        <v>393.051799316406</v>
      </c>
      <c r="E719" t="str">
        <f t="shared" si="42"/>
        <v>Hold</v>
      </c>
      <c r="F719">
        <f t="shared" si="44"/>
        <v>1</v>
      </c>
      <c r="G719">
        <f t="shared" si="43"/>
        <v>-2.1305451650861554E-3</v>
      </c>
      <c r="H719" s="12" cm="1">
        <f t="array" ref="H719">PRODUCT(1+G$2:G719)-1</f>
        <v>0.18854543576576477</v>
      </c>
      <c r="I719">
        <f>H719-MAX(H$2:H719)</f>
        <v>-2.5376563230656846E-3</v>
      </c>
      <c r="L719" s="2">
        <f t="shared" si="45"/>
        <v>0.21186468552070239</v>
      </c>
    </row>
    <row r="720" spans="1:12" x14ac:dyDescent="0.25">
      <c r="A720" s="1">
        <v>44956</v>
      </c>
      <c r="B720">
        <v>402.79998779296801</v>
      </c>
      <c r="C720">
        <v>392.53750152587799</v>
      </c>
      <c r="D720">
        <v>393.08479919433501</v>
      </c>
      <c r="E720" t="str">
        <f t="shared" si="42"/>
        <v>Sell</v>
      </c>
      <c r="F720">
        <f t="shared" si="44"/>
        <v>0</v>
      </c>
      <c r="G720">
        <f t="shared" si="43"/>
        <v>0</v>
      </c>
      <c r="H720" s="12" cm="1">
        <f t="array" ref="H720">PRODUCT(1+G$2:G720)-1</f>
        <v>0.18854543576576477</v>
      </c>
      <c r="I720">
        <f>H720-MAX(H$2:H720)</f>
        <v>-2.5376563230656846E-3</v>
      </c>
      <c r="L720" s="2">
        <f t="shared" si="45"/>
        <v>0.20928275307422761</v>
      </c>
    </row>
    <row r="721" spans="1:12" x14ac:dyDescent="0.25">
      <c r="A721" s="1">
        <v>44957</v>
      </c>
      <c r="B721">
        <v>401.13000488281199</v>
      </c>
      <c r="C721">
        <v>393.56200103759699</v>
      </c>
      <c r="D721">
        <v>393.17179931640601</v>
      </c>
      <c r="E721" t="str">
        <f t="shared" si="42"/>
        <v>Sell</v>
      </c>
      <c r="F721">
        <f t="shared" si="44"/>
        <v>0</v>
      </c>
      <c r="G721">
        <f t="shared" si="43"/>
        <v>0</v>
      </c>
      <c r="H721" s="12" cm="1">
        <f t="array" ref="H721">PRODUCT(1+G$2:G721)-1</f>
        <v>0.18854543576576477</v>
      </c>
      <c r="I721">
        <f>H721-MAX(H$2:H721)</f>
        <v>-2.5376563230656846E-3</v>
      </c>
      <c r="L721" s="2">
        <f t="shared" si="45"/>
        <v>0.20426914435431284</v>
      </c>
    </row>
    <row r="722" spans="1:12" x14ac:dyDescent="0.25">
      <c r="A722" s="1">
        <v>44958</v>
      </c>
      <c r="B722">
        <v>405.20999145507801</v>
      </c>
      <c r="C722">
        <v>394.60400085449203</v>
      </c>
      <c r="D722">
        <v>393.46679931640602</v>
      </c>
      <c r="E722" t="str">
        <f t="shared" si="42"/>
        <v>Sell</v>
      </c>
      <c r="F722">
        <f t="shared" si="44"/>
        <v>0</v>
      </c>
      <c r="G722">
        <f t="shared" si="43"/>
        <v>0</v>
      </c>
      <c r="H722" s="12" cm="1">
        <f t="array" ref="H722">PRODUCT(1+G$2:G722)-1</f>
        <v>0.18854543576576477</v>
      </c>
      <c r="I722">
        <f>H722-MAX(H$2:H722)</f>
        <v>-2.5376563230656846E-3</v>
      </c>
      <c r="L722" s="2">
        <f t="shared" si="45"/>
        <v>0.21651804590381252</v>
      </c>
    </row>
    <row r="723" spans="1:12" x14ac:dyDescent="0.25">
      <c r="A723" s="1">
        <v>44959</v>
      </c>
      <c r="B723">
        <v>414.85998535156199</v>
      </c>
      <c r="C723">
        <v>396.18800048828098</v>
      </c>
      <c r="D723">
        <v>393.80919921874897</v>
      </c>
      <c r="E723" t="str">
        <f t="shared" si="42"/>
        <v>Sell</v>
      </c>
      <c r="F723">
        <f t="shared" si="44"/>
        <v>0</v>
      </c>
      <c r="G723">
        <f t="shared" si="43"/>
        <v>0</v>
      </c>
      <c r="H723" s="12" cm="1">
        <f t="array" ref="H723">PRODUCT(1+G$2:G723)-1</f>
        <v>0.18854543576576477</v>
      </c>
      <c r="I723">
        <f>H723-MAX(H$2:H723)</f>
        <v>-2.5376563230656846E-3</v>
      </c>
      <c r="L723" s="2">
        <f t="shared" si="45"/>
        <v>0.24548917683713217</v>
      </c>
    </row>
    <row r="724" spans="1:12" x14ac:dyDescent="0.25">
      <c r="A724" s="1">
        <v>44960</v>
      </c>
      <c r="B724">
        <v>411.58999633789</v>
      </c>
      <c r="C724">
        <v>397.68150024414001</v>
      </c>
      <c r="D724">
        <v>394.148198852539</v>
      </c>
      <c r="E724" t="str">
        <f t="shared" si="42"/>
        <v>Sell</v>
      </c>
      <c r="F724">
        <f t="shared" si="44"/>
        <v>0</v>
      </c>
      <c r="G724">
        <f t="shared" si="43"/>
        <v>0</v>
      </c>
      <c r="H724" s="12" cm="1">
        <f t="array" ref="H724">PRODUCT(1+G$2:G724)-1</f>
        <v>0.18854543576576477</v>
      </c>
      <c r="I724">
        <f>H724-MAX(H$2:H724)</f>
        <v>-2.5376563230656846E-3</v>
      </c>
      <c r="L724" s="2">
        <f t="shared" si="45"/>
        <v>0.23567204318069274</v>
      </c>
    </row>
    <row r="725" spans="1:12" x14ac:dyDescent="0.25">
      <c r="A725" s="1">
        <v>44963</v>
      </c>
      <c r="B725">
        <v>409.79000854492102</v>
      </c>
      <c r="C725">
        <v>399.04050140380798</v>
      </c>
      <c r="D725">
        <v>394.41139892578099</v>
      </c>
      <c r="E725" t="str">
        <f t="shared" si="42"/>
        <v>Sell</v>
      </c>
      <c r="F725">
        <f t="shared" si="44"/>
        <v>0</v>
      </c>
      <c r="G725">
        <f t="shared" si="43"/>
        <v>0</v>
      </c>
      <c r="H725" s="12" cm="1">
        <f t="array" ref="H725">PRODUCT(1+G$2:G725)-1</f>
        <v>0.18854543576576477</v>
      </c>
      <c r="I725">
        <f>H725-MAX(H$2:H725)</f>
        <v>-2.5376563230656846E-3</v>
      </c>
      <c r="L725" s="2">
        <f t="shared" si="45"/>
        <v>0.23026813488936401</v>
      </c>
    </row>
    <row r="726" spans="1:12" x14ac:dyDescent="0.25">
      <c r="A726" s="1">
        <v>44964</v>
      </c>
      <c r="B726">
        <v>408.86999511718699</v>
      </c>
      <c r="C726">
        <v>399.96550140380799</v>
      </c>
      <c r="D726">
        <v>394.59779907226499</v>
      </c>
      <c r="E726" t="str">
        <f t="shared" si="42"/>
        <v>Sell</v>
      </c>
      <c r="F726">
        <f t="shared" si="44"/>
        <v>0</v>
      </c>
      <c r="G726">
        <f t="shared" si="43"/>
        <v>0</v>
      </c>
      <c r="H726" s="12" cm="1">
        <f t="array" ref="H726">PRODUCT(1+G$2:G726)-1</f>
        <v>0.18854543576576477</v>
      </c>
      <c r="I726">
        <f>H726-MAX(H$2:H726)</f>
        <v>-2.5376563230656846E-3</v>
      </c>
      <c r="L726" s="2">
        <f t="shared" si="45"/>
        <v>0.22750607827448818</v>
      </c>
    </row>
    <row r="727" spans="1:12" x14ac:dyDescent="0.25">
      <c r="A727" s="1">
        <v>44965</v>
      </c>
      <c r="B727">
        <v>413.13000488281199</v>
      </c>
      <c r="C727">
        <v>401.25950164794898</v>
      </c>
      <c r="D727">
        <v>394.82379943847599</v>
      </c>
      <c r="E727" t="str">
        <f t="shared" si="42"/>
        <v>Sell</v>
      </c>
      <c r="F727">
        <f t="shared" si="44"/>
        <v>0</v>
      </c>
      <c r="G727">
        <f t="shared" si="43"/>
        <v>0</v>
      </c>
      <c r="H727" s="12" cm="1">
        <f t="array" ref="H727">PRODUCT(1+G$2:G727)-1</f>
        <v>0.18854543576576477</v>
      </c>
      <c r="I727">
        <f>H727-MAX(H$2:H727)</f>
        <v>-2.5376563230656846E-3</v>
      </c>
      <c r="L727" s="2">
        <f t="shared" si="45"/>
        <v>0.24029544394881364</v>
      </c>
    </row>
    <row r="728" spans="1:12" x14ac:dyDescent="0.25">
      <c r="A728" s="1">
        <v>44966</v>
      </c>
      <c r="B728">
        <v>414.41000366210898</v>
      </c>
      <c r="C728">
        <v>402.36850128173802</v>
      </c>
      <c r="D728">
        <v>395.13019958496</v>
      </c>
      <c r="E728" t="str">
        <f t="shared" si="42"/>
        <v>Sell</v>
      </c>
      <c r="F728">
        <f t="shared" si="44"/>
        <v>0</v>
      </c>
      <c r="G728">
        <f t="shared" si="43"/>
        <v>0</v>
      </c>
      <c r="H728" s="12" cm="1">
        <f t="array" ref="H728">PRODUCT(1+G$2:G728)-1</f>
        <v>0.18854543576576477</v>
      </c>
      <c r="I728">
        <f>H728-MAX(H$2:H728)</f>
        <v>-2.5376563230656846E-3</v>
      </c>
      <c r="L728" s="2">
        <f t="shared" si="45"/>
        <v>0.24413824557410937</v>
      </c>
    </row>
    <row r="729" spans="1:12" x14ac:dyDescent="0.25">
      <c r="A729" s="1">
        <v>44967</v>
      </c>
      <c r="B729">
        <v>405.85998535156199</v>
      </c>
      <c r="C729">
        <v>402.82799987792902</v>
      </c>
      <c r="D729">
        <v>395.32639953613199</v>
      </c>
      <c r="E729" t="str">
        <f t="shared" si="42"/>
        <v>Sell</v>
      </c>
      <c r="F729">
        <f t="shared" si="44"/>
        <v>0</v>
      </c>
      <c r="G729">
        <f t="shared" si="43"/>
        <v>0</v>
      </c>
      <c r="H729" s="12" cm="1">
        <f t="array" ref="H729">PRODUCT(1+G$2:G729)-1</f>
        <v>0.18854543576576477</v>
      </c>
      <c r="I729">
        <f>H729-MAX(H$2:H729)</f>
        <v>-2.5376563230656846E-3</v>
      </c>
      <c r="L729" s="2">
        <f t="shared" si="45"/>
        <v>0.21846945214125657</v>
      </c>
    </row>
    <row r="730" spans="1:12" x14ac:dyDescent="0.25">
      <c r="A730" s="1">
        <v>44970</v>
      </c>
      <c r="B730">
        <v>408.72000122070301</v>
      </c>
      <c r="C730">
        <v>403.58300018310501</v>
      </c>
      <c r="D730">
        <v>395.590999755859</v>
      </c>
      <c r="E730" t="str">
        <f t="shared" si="42"/>
        <v>Sell</v>
      </c>
      <c r="F730">
        <f t="shared" si="44"/>
        <v>0</v>
      </c>
      <c r="G730">
        <f t="shared" si="43"/>
        <v>0</v>
      </c>
      <c r="H730" s="12" cm="1">
        <f t="array" ref="H730">PRODUCT(1+G$2:G730)-1</f>
        <v>0.18854543576576477</v>
      </c>
      <c r="I730">
        <f>H730-MAX(H$2:H730)</f>
        <v>-2.5376563230656846E-3</v>
      </c>
      <c r="L730" s="2">
        <f t="shared" si="45"/>
        <v>0.22705576785348167</v>
      </c>
    </row>
    <row r="731" spans="1:12" x14ac:dyDescent="0.25">
      <c r="A731" s="1">
        <v>44971</v>
      </c>
      <c r="B731">
        <v>411.239990234375</v>
      </c>
      <c r="C731">
        <v>404.22099914550699</v>
      </c>
      <c r="D731">
        <v>395.64039978027301</v>
      </c>
      <c r="E731" t="str">
        <f t="shared" si="42"/>
        <v>Sell</v>
      </c>
      <c r="F731">
        <f t="shared" si="44"/>
        <v>0</v>
      </c>
      <c r="G731">
        <f t="shared" si="43"/>
        <v>0</v>
      </c>
      <c r="H731" s="12" cm="1">
        <f t="array" ref="H731">PRODUCT(1+G$2:G731)-1</f>
        <v>0.18854543576576477</v>
      </c>
      <c r="I731">
        <f>H731-MAX(H$2:H731)</f>
        <v>-2.5376563230656846E-3</v>
      </c>
      <c r="L731" s="2">
        <f t="shared" si="45"/>
        <v>0.2346212577852648</v>
      </c>
    </row>
    <row r="732" spans="1:12" x14ac:dyDescent="0.25">
      <c r="A732" s="1">
        <v>44972</v>
      </c>
      <c r="B732">
        <v>410.350006103515</v>
      </c>
      <c r="C732">
        <v>404.78799896240201</v>
      </c>
      <c r="D732">
        <v>395.80239990234298</v>
      </c>
      <c r="E732" t="str">
        <f t="shared" si="42"/>
        <v>Sell</v>
      </c>
      <c r="F732">
        <f t="shared" si="44"/>
        <v>0</v>
      </c>
      <c r="G732">
        <f t="shared" si="43"/>
        <v>0</v>
      </c>
      <c r="H732" s="12" cm="1">
        <f t="array" ref="H732">PRODUCT(1+G$2:G732)-1</f>
        <v>0.18854543576576477</v>
      </c>
      <c r="I732">
        <f>H732-MAX(H$2:H732)</f>
        <v>-2.5376563230656846E-3</v>
      </c>
      <c r="L732" s="2">
        <f t="shared" si="45"/>
        <v>0.23194935487420532</v>
      </c>
    </row>
    <row r="733" spans="1:12" x14ac:dyDescent="0.25">
      <c r="A733" s="1">
        <v>44973</v>
      </c>
      <c r="B733">
        <v>408.79000854492102</v>
      </c>
      <c r="C733">
        <v>405.75950012206999</v>
      </c>
      <c r="D733">
        <v>395.89919982910101</v>
      </c>
      <c r="E733" t="str">
        <f t="shared" si="42"/>
        <v>Sell</v>
      </c>
      <c r="F733">
        <f t="shared" si="44"/>
        <v>0</v>
      </c>
      <c r="G733">
        <f t="shared" si="43"/>
        <v>0</v>
      </c>
      <c r="H733" s="12" cm="1">
        <f t="array" ref="H733">PRODUCT(1+G$2:G733)-1</f>
        <v>0.18854543576576477</v>
      </c>
      <c r="I733">
        <f>H733-MAX(H$2:H733)</f>
        <v>-2.5376563230656846E-3</v>
      </c>
      <c r="L733" s="2">
        <f t="shared" si="45"/>
        <v>0.22726594325648897</v>
      </c>
    </row>
    <row r="734" spans="1:12" x14ac:dyDescent="0.25">
      <c r="A734" s="1">
        <v>44974</v>
      </c>
      <c r="B734">
        <v>406.05999755859301</v>
      </c>
      <c r="C734">
        <v>406.557499694824</v>
      </c>
      <c r="D734">
        <v>396.03199951171803</v>
      </c>
      <c r="E734" t="str">
        <f t="shared" si="42"/>
        <v>Sell</v>
      </c>
      <c r="F734">
        <f t="shared" si="44"/>
        <v>0</v>
      </c>
      <c r="G734">
        <f t="shared" si="43"/>
        <v>0</v>
      </c>
      <c r="H734" s="12" cm="1">
        <f t="array" ref="H734">PRODUCT(1+G$2:G734)-1</f>
        <v>0.18854543576576477</v>
      </c>
      <c r="I734">
        <f>H734-MAX(H$2:H734)</f>
        <v>-2.5376563230656846E-3</v>
      </c>
      <c r="L734" s="2">
        <f t="shared" si="45"/>
        <v>0.21906992711567799</v>
      </c>
    </row>
    <row r="735" spans="1:12" x14ac:dyDescent="0.25">
      <c r="A735" s="1">
        <v>44978</v>
      </c>
      <c r="B735">
        <v>403.05999755859301</v>
      </c>
      <c r="C735">
        <v>406.874499511718</v>
      </c>
      <c r="D735">
        <v>396.23439941406201</v>
      </c>
      <c r="E735" t="str">
        <f t="shared" si="42"/>
        <v>Sell</v>
      </c>
      <c r="F735">
        <f t="shared" si="44"/>
        <v>0</v>
      </c>
      <c r="G735">
        <f t="shared" si="43"/>
        <v>0</v>
      </c>
      <c r="H735" s="12" cm="1">
        <f t="array" ref="H735">PRODUCT(1+G$2:G735)-1</f>
        <v>0.18854543576576477</v>
      </c>
      <c r="I735">
        <f>H735-MAX(H$2:H735)</f>
        <v>-2.5376563230656846E-3</v>
      </c>
      <c r="L735" s="2">
        <f t="shared" si="45"/>
        <v>0.2100633522170528</v>
      </c>
    </row>
    <row r="736" spans="1:12" x14ac:dyDescent="0.25">
      <c r="A736" s="1">
        <v>44979</v>
      </c>
      <c r="B736">
        <v>399.51998901367102</v>
      </c>
      <c r="C736">
        <v>406.90649871826099</v>
      </c>
      <c r="D736">
        <v>396.32199890136701</v>
      </c>
      <c r="E736" t="str">
        <f t="shared" si="42"/>
        <v>Sell</v>
      </c>
      <c r="F736">
        <f t="shared" si="44"/>
        <v>0</v>
      </c>
      <c r="G736">
        <f t="shared" si="43"/>
        <v>0</v>
      </c>
      <c r="H736" s="12" cm="1">
        <f t="array" ref="H736">PRODUCT(1+G$2:G736)-1</f>
        <v>0.18854543576576477</v>
      </c>
      <c r="I736">
        <f>H736-MAX(H$2:H736)</f>
        <v>-2.5376563230656846E-3</v>
      </c>
      <c r="L736" s="2">
        <f t="shared" si="45"/>
        <v>0.19943556818318176</v>
      </c>
    </row>
    <row r="737" spans="1:12" x14ac:dyDescent="0.25">
      <c r="A737" s="1">
        <v>44980</v>
      </c>
      <c r="B737">
        <v>401.55999755859301</v>
      </c>
      <c r="C737">
        <v>407.18699798583901</v>
      </c>
      <c r="D737">
        <v>396.45439880370998</v>
      </c>
      <c r="E737" t="str">
        <f t="shared" si="42"/>
        <v>Hold</v>
      </c>
      <c r="F737">
        <f t="shared" si="44"/>
        <v>0</v>
      </c>
      <c r="G737">
        <f t="shared" si="43"/>
        <v>0</v>
      </c>
      <c r="H737" s="12" cm="1">
        <f t="array" ref="H737">PRODUCT(1+G$2:G737)-1</f>
        <v>0.18854543576576477</v>
      </c>
      <c r="I737">
        <f>H737-MAX(H$2:H737)</f>
        <v>-2.5376563230656846E-3</v>
      </c>
      <c r="L737" s="2">
        <f t="shared" si="45"/>
        <v>0.20556006476774019</v>
      </c>
    </row>
    <row r="738" spans="1:12" x14ac:dyDescent="0.25">
      <c r="A738" s="1">
        <v>44981</v>
      </c>
      <c r="B738">
        <v>395.42001342773398</v>
      </c>
      <c r="C738">
        <v>406.80149841308503</v>
      </c>
      <c r="D738">
        <v>396.48059936523401</v>
      </c>
      <c r="E738" t="str">
        <f t="shared" si="42"/>
        <v>Hold</v>
      </c>
      <c r="F738">
        <f t="shared" si="44"/>
        <v>0</v>
      </c>
      <c r="G738">
        <f t="shared" si="43"/>
        <v>0</v>
      </c>
      <c r="H738" s="12" cm="1">
        <f t="array" ref="H738">PRODUCT(1+G$2:G738)-1</f>
        <v>0.18854543576576477</v>
      </c>
      <c r="I738">
        <f>H738-MAX(H$2:H738)</f>
        <v>-2.5376563230656846E-3</v>
      </c>
      <c r="L738" s="2">
        <f t="shared" si="45"/>
        <v>0.18712665578408952</v>
      </c>
    </row>
    <row r="739" spans="1:12" x14ac:dyDescent="0.25">
      <c r="A739" s="1">
        <v>44984</v>
      </c>
      <c r="B739">
        <v>399.86999511718699</v>
      </c>
      <c r="C739">
        <v>406.61199798583903</v>
      </c>
      <c r="D739">
        <v>396.27359924316403</v>
      </c>
      <c r="E739" t="str">
        <f t="shared" si="42"/>
        <v>Hold</v>
      </c>
      <c r="F739">
        <f t="shared" si="44"/>
        <v>0</v>
      </c>
      <c r="G739">
        <f t="shared" si="43"/>
        <v>0</v>
      </c>
      <c r="H739" s="12" cm="1">
        <f t="array" ref="H739">PRODUCT(1+G$2:G739)-1</f>
        <v>0.18854543576576477</v>
      </c>
      <c r="I739">
        <f>H739-MAX(H$2:H739)</f>
        <v>-2.5376563230656846E-3</v>
      </c>
      <c r="L739" s="2">
        <f t="shared" si="45"/>
        <v>0.20048635357861258</v>
      </c>
    </row>
    <row r="740" spans="1:12" x14ac:dyDescent="0.25">
      <c r="A740" s="1">
        <v>44985</v>
      </c>
      <c r="B740">
        <v>397.23001098632801</v>
      </c>
      <c r="C740">
        <v>406.33349914550701</v>
      </c>
      <c r="D740">
        <v>396.18599975585897</v>
      </c>
      <c r="E740" t="str">
        <f t="shared" si="42"/>
        <v>Hold</v>
      </c>
      <c r="F740">
        <f t="shared" si="44"/>
        <v>0</v>
      </c>
      <c r="G740">
        <f t="shared" si="43"/>
        <v>0</v>
      </c>
      <c r="H740" s="12" cm="1">
        <f t="array" ref="H740">PRODUCT(1+G$2:G740)-1</f>
        <v>0.18854543576576477</v>
      </c>
      <c r="I740">
        <f>H740-MAX(H$2:H740)</f>
        <v>-2.5376563230656846E-3</v>
      </c>
      <c r="L740" s="2">
        <f t="shared" si="45"/>
        <v>0.19256061531002483</v>
      </c>
    </row>
    <row r="741" spans="1:12" x14ac:dyDescent="0.25">
      <c r="A741" s="1">
        <v>44986</v>
      </c>
      <c r="B741">
        <v>395.41000366210898</v>
      </c>
      <c r="C741">
        <v>406.04749908447201</v>
      </c>
      <c r="D741">
        <v>396.20820007324198</v>
      </c>
      <c r="E741" t="str">
        <f t="shared" si="42"/>
        <v>Hold</v>
      </c>
      <c r="F741">
        <f t="shared" si="44"/>
        <v>0</v>
      </c>
      <c r="G741">
        <f t="shared" si="43"/>
        <v>0</v>
      </c>
      <c r="H741" s="12" cm="1">
        <f t="array" ref="H741">PRODUCT(1+G$2:G741)-1</f>
        <v>0.18854543576576477</v>
      </c>
      <c r="I741">
        <f>H741-MAX(H$2:H741)</f>
        <v>-2.5376563230656846E-3</v>
      </c>
      <c r="L741" s="2">
        <f t="shared" si="45"/>
        <v>0.1870966045494831</v>
      </c>
    </row>
    <row r="742" spans="1:12" x14ac:dyDescent="0.25">
      <c r="A742" s="1">
        <v>44987</v>
      </c>
      <c r="B742">
        <v>392.67999267578102</v>
      </c>
      <c r="C742">
        <v>405.42099914550698</v>
      </c>
      <c r="D742">
        <v>396.35820007324202</v>
      </c>
      <c r="E742" t="str">
        <f t="shared" si="42"/>
        <v>Hold</v>
      </c>
      <c r="F742">
        <f t="shared" si="44"/>
        <v>0</v>
      </c>
      <c r="G742">
        <f t="shared" si="43"/>
        <v>0</v>
      </c>
      <c r="H742" s="12" cm="1">
        <f t="array" ref="H742">PRODUCT(1+G$2:G742)-1</f>
        <v>0.18854543576576477</v>
      </c>
      <c r="I742">
        <f>H742-MAX(H$2:H742)</f>
        <v>-2.5376563230656846E-3</v>
      </c>
      <c r="L742" s="2">
        <f t="shared" si="45"/>
        <v>0.17890058840867229</v>
      </c>
    </row>
    <row r="743" spans="1:12" x14ac:dyDescent="0.25">
      <c r="A743" s="1">
        <v>44988</v>
      </c>
      <c r="B743">
        <v>399.70999145507801</v>
      </c>
      <c r="C743">
        <v>404.66349945068299</v>
      </c>
      <c r="D743">
        <v>396.68299987792898</v>
      </c>
      <c r="E743" t="str">
        <f t="shared" si="42"/>
        <v>Hold</v>
      </c>
      <c r="F743">
        <f t="shared" si="44"/>
        <v>0</v>
      </c>
      <c r="G743">
        <f t="shared" si="43"/>
        <v>0</v>
      </c>
      <c r="H743" s="12" cm="1">
        <f t="array" ref="H743">PRODUCT(1+G$2:G743)-1</f>
        <v>0.18854543576576477</v>
      </c>
      <c r="I743">
        <f>H743-MAX(H$2:H743)</f>
        <v>-2.5376563230656846E-3</v>
      </c>
      <c r="L743" s="2">
        <f t="shared" si="45"/>
        <v>0.20000599192299964</v>
      </c>
    </row>
    <row r="744" spans="1:12" x14ac:dyDescent="0.25">
      <c r="A744" s="1">
        <v>44991</v>
      </c>
      <c r="B744">
        <v>405.04998779296801</v>
      </c>
      <c r="C744">
        <v>404.336499023437</v>
      </c>
      <c r="D744">
        <v>397.19939941406199</v>
      </c>
      <c r="E744" t="str">
        <f t="shared" si="42"/>
        <v>Hold</v>
      </c>
      <c r="F744">
        <f t="shared" si="44"/>
        <v>0</v>
      </c>
      <c r="G744">
        <f t="shared" si="43"/>
        <v>0</v>
      </c>
      <c r="H744" s="12" cm="1">
        <f t="array" ref="H744">PRODUCT(1+G$2:G744)-1</f>
        <v>0.18854543576576477</v>
      </c>
      <c r="I744">
        <f>H744-MAX(H$2:H744)</f>
        <v>-2.5376563230656846E-3</v>
      </c>
      <c r="L744" s="2">
        <f t="shared" si="45"/>
        <v>0.2160376842481965</v>
      </c>
    </row>
    <row r="745" spans="1:12" x14ac:dyDescent="0.25">
      <c r="A745" s="1">
        <v>44992</v>
      </c>
      <c r="B745">
        <v>404.42001342773398</v>
      </c>
      <c r="C745">
        <v>404.06799926757799</v>
      </c>
      <c r="D745">
        <v>397.62279968261703</v>
      </c>
      <c r="E745" t="str">
        <f t="shared" si="42"/>
        <v>Hold</v>
      </c>
      <c r="F745">
        <f t="shared" si="44"/>
        <v>0</v>
      </c>
      <c r="G745">
        <f t="shared" si="43"/>
        <v>0</v>
      </c>
      <c r="H745" s="12" cm="1">
        <f t="array" ref="H745">PRODUCT(1+G$2:G745)-1</f>
        <v>0.18854543576576477</v>
      </c>
      <c r="I745">
        <f>H745-MAX(H$2:H745)</f>
        <v>-2.5376563230656846E-3</v>
      </c>
      <c r="L745" s="2">
        <f t="shared" si="45"/>
        <v>0.21414638047996512</v>
      </c>
    </row>
    <row r="746" spans="1:12" x14ac:dyDescent="0.25">
      <c r="A746" s="1">
        <v>44993</v>
      </c>
      <c r="B746">
        <v>398.39001464843699</v>
      </c>
      <c r="C746">
        <v>403.54400024414002</v>
      </c>
      <c r="D746">
        <v>397.92960021972601</v>
      </c>
      <c r="E746" t="str">
        <f t="shared" si="42"/>
        <v>Hold</v>
      </c>
      <c r="F746">
        <f t="shared" si="44"/>
        <v>0</v>
      </c>
      <c r="G746">
        <f t="shared" si="43"/>
        <v>0</v>
      </c>
      <c r="H746" s="12" cm="1">
        <f t="array" ref="H746">PRODUCT(1+G$2:G746)-1</f>
        <v>0.18854543576576477</v>
      </c>
      <c r="I746">
        <f>H746-MAX(H$2:H746)</f>
        <v>-2.5376563230656846E-3</v>
      </c>
      <c r="L746" s="2">
        <f t="shared" si="45"/>
        <v>0.19604316859851281</v>
      </c>
    </row>
    <row r="747" spans="1:12" x14ac:dyDescent="0.25">
      <c r="A747" s="1">
        <v>44994</v>
      </c>
      <c r="B747">
        <v>399.739990234375</v>
      </c>
      <c r="C747">
        <v>402.874499511718</v>
      </c>
      <c r="D747">
        <v>398.33140014648399</v>
      </c>
      <c r="E747" t="str">
        <f t="shared" si="42"/>
        <v>Hold</v>
      </c>
      <c r="F747">
        <f t="shared" si="44"/>
        <v>0</v>
      </c>
      <c r="G747">
        <f t="shared" si="43"/>
        <v>0</v>
      </c>
      <c r="H747" s="12" cm="1">
        <f t="array" ref="H747">PRODUCT(1+G$2:G747)-1</f>
        <v>0.18854543576576477</v>
      </c>
      <c r="I747">
        <f>H747-MAX(H$2:H747)</f>
        <v>-2.5376563230656846E-3</v>
      </c>
      <c r="L747" s="2">
        <f t="shared" si="45"/>
        <v>0.20009605400720154</v>
      </c>
    </row>
    <row r="748" spans="1:12" x14ac:dyDescent="0.25">
      <c r="A748" s="1">
        <v>44995</v>
      </c>
      <c r="B748">
        <v>390.989990234375</v>
      </c>
      <c r="C748">
        <v>401.70349884033197</v>
      </c>
      <c r="D748">
        <v>398.49539978027298</v>
      </c>
      <c r="E748" t="str">
        <f t="shared" si="42"/>
        <v>Hold</v>
      </c>
      <c r="F748">
        <f t="shared" si="44"/>
        <v>0</v>
      </c>
      <c r="G748">
        <f t="shared" si="43"/>
        <v>0</v>
      </c>
      <c r="H748" s="12" cm="1">
        <f t="array" ref="H748">PRODUCT(1+G$2:G748)-1</f>
        <v>0.18854543576576477</v>
      </c>
      <c r="I748">
        <f>H748-MAX(H$2:H748)</f>
        <v>-2.5376563230656846E-3</v>
      </c>
      <c r="L748" s="2">
        <f t="shared" si="45"/>
        <v>0.17382687721954471</v>
      </c>
    </row>
    <row r="749" spans="1:12" x14ac:dyDescent="0.25">
      <c r="A749" s="1">
        <v>44998</v>
      </c>
      <c r="B749">
        <v>381.80999755859301</v>
      </c>
      <c r="C749">
        <v>400.50099945068303</v>
      </c>
      <c r="D749">
        <v>398.50499999999897</v>
      </c>
      <c r="E749" t="str">
        <f t="shared" si="42"/>
        <v>Hold</v>
      </c>
      <c r="F749">
        <f t="shared" si="44"/>
        <v>0</v>
      </c>
      <c r="G749">
        <f t="shared" si="43"/>
        <v>0</v>
      </c>
      <c r="H749" s="12" cm="1">
        <f t="array" ref="H749">PRODUCT(1+G$2:G749)-1</f>
        <v>0.18854543576576477</v>
      </c>
      <c r="I749">
        <f>H749-MAX(H$2:H749)</f>
        <v>-2.5376563230656846E-3</v>
      </c>
      <c r="L749" s="2">
        <f t="shared" si="45"/>
        <v>0.14626678001845761</v>
      </c>
    </row>
    <row r="750" spans="1:12" x14ac:dyDescent="0.25">
      <c r="A750" s="1">
        <v>44999</v>
      </c>
      <c r="B750">
        <v>390.5</v>
      </c>
      <c r="C750">
        <v>399.58999938964803</v>
      </c>
      <c r="D750">
        <v>398.722399902343</v>
      </c>
      <c r="E750" t="str">
        <f t="shared" si="42"/>
        <v>Buy</v>
      </c>
      <c r="F750">
        <f t="shared" si="44"/>
        <v>1</v>
      </c>
      <c r="G750">
        <f t="shared" si="43"/>
        <v>-1.1805340208868148E-2</v>
      </c>
      <c r="H750" s="12" cm="1">
        <f t="array" ref="H750">PRODUCT(1+G$2:G750)-1</f>
        <v>0.17451425254285247</v>
      </c>
      <c r="I750">
        <f>H750-MAX(H$2:H750)</f>
        <v>-1.6568839545977987E-2</v>
      </c>
      <c r="L750" s="2">
        <f t="shared" si="45"/>
        <v>0.17235583263771359</v>
      </c>
    </row>
    <row r="751" spans="1:12" x14ac:dyDescent="0.25">
      <c r="A751" s="1">
        <v>45000</v>
      </c>
      <c r="B751">
        <v>385.89001464843699</v>
      </c>
      <c r="C751">
        <v>398.32250061035103</v>
      </c>
      <c r="D751">
        <v>398.82739990234302</v>
      </c>
      <c r="E751" t="str">
        <f t="shared" si="42"/>
        <v>Buy</v>
      </c>
      <c r="F751">
        <f t="shared" si="44"/>
        <v>1</v>
      </c>
      <c r="G751">
        <f t="shared" si="43"/>
        <v>2.4099941446484108E-3</v>
      </c>
      <c r="H751" s="12" cm="1">
        <f t="array" ref="H751">PRODUCT(1+G$2:G751)-1</f>
        <v>0.17734482501428683</v>
      </c>
      <c r="I751">
        <f>H751-MAX(H$2:H751)</f>
        <v>-1.373826707454362E-2</v>
      </c>
      <c r="L751" s="2">
        <f t="shared" si="45"/>
        <v>0.15851577318757448</v>
      </c>
    </row>
    <row r="752" spans="1:12" x14ac:dyDescent="0.25">
      <c r="A752" s="1">
        <v>45001</v>
      </c>
      <c r="B752">
        <v>386.82000732421801</v>
      </c>
      <c r="C752">
        <v>397.14600067138599</v>
      </c>
      <c r="D752">
        <v>398.876400146484</v>
      </c>
      <c r="E752" t="str">
        <f t="shared" si="42"/>
        <v>Buy</v>
      </c>
      <c r="F752">
        <f t="shared" si="44"/>
        <v>1</v>
      </c>
      <c r="G752">
        <f t="shared" si="43"/>
        <v>1.6545147032999162E-2</v>
      </c>
      <c r="H752" s="12" cm="1">
        <f t="array" ref="H752">PRODUCT(1+G$2:G752)-1</f>
        <v>0.19682416825268878</v>
      </c>
      <c r="I752">
        <f>H752-MAX(H$2:H752)</f>
        <v>0</v>
      </c>
      <c r="L752" s="2">
        <f t="shared" si="45"/>
        <v>0.16130778941743937</v>
      </c>
    </row>
    <row r="753" spans="1:12" x14ac:dyDescent="0.25">
      <c r="A753" s="1">
        <v>45002</v>
      </c>
      <c r="B753">
        <v>393.22000122070301</v>
      </c>
      <c r="C753">
        <v>396.36750030517499</v>
      </c>
      <c r="D753">
        <v>399.07720031738199</v>
      </c>
      <c r="E753" t="str">
        <f t="shared" si="42"/>
        <v>Buy</v>
      </c>
      <c r="F753">
        <f t="shared" si="44"/>
        <v>1</v>
      </c>
      <c r="G753">
        <f t="shared" si="43"/>
        <v>-6.1543497793153119E-3</v>
      </c>
      <c r="H753" s="12" cm="1">
        <f t="array" ref="H753">PRODUCT(1+G$2:G753)-1</f>
        <v>0.18945849369692369</v>
      </c>
      <c r="I753">
        <f>H753-MAX(H$2:H753)</f>
        <v>-7.3656745557650893E-3</v>
      </c>
      <c r="L753" s="2">
        <f t="shared" si="45"/>
        <v>0.18052179754391814</v>
      </c>
    </row>
    <row r="754" spans="1:12" x14ac:dyDescent="0.25">
      <c r="A754" s="1">
        <v>45005</v>
      </c>
      <c r="B754">
        <v>390.79998779296801</v>
      </c>
      <c r="C754">
        <v>395.60449981689402</v>
      </c>
      <c r="D754">
        <v>399.25880004882799</v>
      </c>
      <c r="E754" t="str">
        <f t="shared" si="42"/>
        <v>Buy</v>
      </c>
      <c r="F754">
        <f t="shared" si="44"/>
        <v>1</v>
      </c>
      <c r="G754">
        <f t="shared" si="43"/>
        <v>1.6479024162146787E-2</v>
      </c>
      <c r="H754" s="12" cm="1">
        <f t="array" ref="H754">PRODUCT(1+G$2:G754)-1</f>
        <v>0.2090596089544261</v>
      </c>
      <c r="I754">
        <f>H754-MAX(H$2:H754)</f>
        <v>0</v>
      </c>
      <c r="L754" s="2">
        <f t="shared" si="45"/>
        <v>0.17325645347972682</v>
      </c>
    </row>
    <row r="755" spans="1:12" x14ac:dyDescent="0.25">
      <c r="A755" s="1">
        <v>45006</v>
      </c>
      <c r="B755">
        <v>397.239990234375</v>
      </c>
      <c r="C755">
        <v>395.31349945068303</v>
      </c>
      <c r="D755">
        <v>399.55140014648401</v>
      </c>
      <c r="E755" t="str">
        <f t="shared" si="42"/>
        <v>Buy</v>
      </c>
      <c r="F755">
        <f t="shared" si="44"/>
        <v>1</v>
      </c>
      <c r="G755">
        <f t="shared" si="43"/>
        <v>3.7509334120008567E-3</v>
      </c>
      <c r="H755" s="12" cm="1">
        <f t="array" ref="H755">PRODUCT(1+G$2:G755)-1</f>
        <v>0.21359471103875416</v>
      </c>
      <c r="I755">
        <f>H755-MAX(H$2:H755)</f>
        <v>0</v>
      </c>
      <c r="L755" s="2">
        <f t="shared" si="45"/>
        <v>0.19259057492501389</v>
      </c>
    </row>
    <row r="756" spans="1:12" x14ac:dyDescent="0.25">
      <c r="A756" s="1">
        <v>45007</v>
      </c>
      <c r="B756">
        <v>398.73001098632801</v>
      </c>
      <c r="C756">
        <v>395.27400054931599</v>
      </c>
      <c r="D756">
        <v>399.71860046386701</v>
      </c>
      <c r="E756" t="str">
        <f t="shared" si="42"/>
        <v>Buy</v>
      </c>
      <c r="F756">
        <f t="shared" si="44"/>
        <v>1</v>
      </c>
      <c r="G756">
        <f t="shared" si="43"/>
        <v>-9.1290210120723112E-3</v>
      </c>
      <c r="H756" s="12" cm="1">
        <f t="array" ref="H756">PRODUCT(1+G$2:G756)-1</f>
        <v>0.20251577942154153</v>
      </c>
      <c r="I756">
        <f>H756-MAX(H$2:H756)</f>
        <v>-1.1078931617212628E-2</v>
      </c>
      <c r="L756" s="2">
        <f t="shared" si="45"/>
        <v>0.19706390275933741</v>
      </c>
    </row>
    <row r="757" spans="1:12" x14ac:dyDescent="0.25">
      <c r="A757" s="1">
        <v>45008</v>
      </c>
      <c r="B757">
        <v>395.08999633789</v>
      </c>
      <c r="C757">
        <v>394.95050048828102</v>
      </c>
      <c r="D757">
        <v>399.87540039062401</v>
      </c>
      <c r="E757" t="str">
        <f t="shared" si="42"/>
        <v>Buy</v>
      </c>
      <c r="F757">
        <f t="shared" si="44"/>
        <v>1</v>
      </c>
      <c r="G757">
        <f t="shared" si="43"/>
        <v>-8.2259739049948648E-3</v>
      </c>
      <c r="H757" s="12" cm="1">
        <f t="array" ref="H757">PRODUCT(1+G$2:G757)-1</f>
        <v>0.19262391599967521</v>
      </c>
      <c r="I757">
        <f>H757-MAX(H$2:H757)</f>
        <v>-2.0970795039078949E-2</v>
      </c>
      <c r="L757" s="2">
        <f t="shared" si="45"/>
        <v>0.18613588123825414</v>
      </c>
    </row>
    <row r="758" spans="1:12" x14ac:dyDescent="0.25">
      <c r="A758" s="1">
        <v>45009</v>
      </c>
      <c r="B758">
        <v>391.83999633789</v>
      </c>
      <c r="C758">
        <v>394.77149963378901</v>
      </c>
      <c r="D758">
        <v>399.86760009765601</v>
      </c>
      <c r="E758" t="str">
        <f t="shared" si="42"/>
        <v>Buy</v>
      </c>
      <c r="F758">
        <f t="shared" si="44"/>
        <v>1</v>
      </c>
      <c r="G758">
        <f t="shared" si="43"/>
        <v>1.6026946809895443E-2</v>
      </c>
      <c r="H758" s="12" cm="1">
        <f t="array" ref="H758">PRODUCT(1+G$2:G758)-1</f>
        <v>0.21173803606561115</v>
      </c>
      <c r="I758">
        <f>H758-MAX(H$2:H758)</f>
        <v>-1.8566749731430132E-3</v>
      </c>
      <c r="L758" s="2">
        <f t="shared" si="45"/>
        <v>0.17637875843141018</v>
      </c>
    </row>
    <row r="759" spans="1:12" x14ac:dyDescent="0.25">
      <c r="A759" s="1">
        <v>45012</v>
      </c>
      <c r="B759">
        <v>398.11999511718699</v>
      </c>
      <c r="C759">
        <v>394.68399963378903</v>
      </c>
      <c r="D759">
        <v>399.89659973144501</v>
      </c>
      <c r="E759" t="str">
        <f t="shared" si="42"/>
        <v>Buy</v>
      </c>
      <c r="F759">
        <f t="shared" si="44"/>
        <v>1</v>
      </c>
      <c r="G759">
        <f t="shared" si="43"/>
        <v>-5.9027582948307823E-3</v>
      </c>
      <c r="H759" s="12" cm="1">
        <f t="array" ref="H759">PRODUCT(1+G$2:G759)-1</f>
        <v>0.20458543932206297</v>
      </c>
      <c r="I759">
        <f>H759-MAX(H$2:H759)</f>
        <v>-9.0092717166911918E-3</v>
      </c>
      <c r="L759" s="2">
        <f t="shared" si="45"/>
        <v>0.19523251822108123</v>
      </c>
    </row>
    <row r="760" spans="1:12" x14ac:dyDescent="0.25">
      <c r="A760" s="1">
        <v>45013</v>
      </c>
      <c r="B760">
        <v>395.76998901367102</v>
      </c>
      <c r="C760">
        <v>394.610998535156</v>
      </c>
      <c r="D760">
        <v>399.939599609374</v>
      </c>
      <c r="E760" t="str">
        <f t="shared" si="42"/>
        <v>Hold</v>
      </c>
      <c r="F760">
        <f t="shared" si="44"/>
        <v>1</v>
      </c>
      <c r="G760">
        <f t="shared" si="43"/>
        <v>1.0511165013995799E-2</v>
      </c>
      <c r="H760" s="12" cm="1">
        <f t="array" ref="H760">PRODUCT(1+G$2:G760)-1</f>
        <v>0.21724703564823367</v>
      </c>
      <c r="I760">
        <f>H760-MAX(H$2:H760)</f>
        <v>0</v>
      </c>
      <c r="L760" s="2">
        <f t="shared" si="45"/>
        <v>0.18817734955990026</v>
      </c>
    </row>
    <row r="761" spans="1:12" x14ac:dyDescent="0.25">
      <c r="A761" s="1">
        <v>45014</v>
      </c>
      <c r="B761">
        <v>399.92999267578102</v>
      </c>
      <c r="C761">
        <v>394.83699798583899</v>
      </c>
      <c r="D761">
        <v>399.96859924316402</v>
      </c>
      <c r="E761" t="str">
        <f t="shared" si="42"/>
        <v>Hold</v>
      </c>
      <c r="F761">
        <f t="shared" si="44"/>
        <v>1</v>
      </c>
      <c r="G761">
        <f t="shared" si="43"/>
        <v>1.0401829665927176E-2</v>
      </c>
      <c r="H761" s="12" cm="1">
        <f t="array" ref="H761">PRODUCT(1+G$2:G761)-1</f>
        <v>0.22990863197440148</v>
      </c>
      <c r="I761">
        <f>H761-MAX(H$2:H761)</f>
        <v>0</v>
      </c>
      <c r="L761" s="2">
        <f t="shared" si="45"/>
        <v>0.20066647774701654</v>
      </c>
    </row>
    <row r="762" spans="1:12" x14ac:dyDescent="0.25">
      <c r="A762" s="1">
        <v>45015</v>
      </c>
      <c r="B762">
        <v>404.08999633789</v>
      </c>
      <c r="C762">
        <v>395.40749816894498</v>
      </c>
      <c r="D762">
        <v>400.07019897460901</v>
      </c>
      <c r="E762" t="str">
        <f t="shared" si="42"/>
        <v>Hold</v>
      </c>
      <c r="F762">
        <f t="shared" si="44"/>
        <v>1</v>
      </c>
      <c r="G762">
        <f t="shared" si="43"/>
        <v>1.4105949896922256E-3</v>
      </c>
      <c r="H762" s="12" cm="1">
        <f t="array" ref="H762">PRODUCT(1+G$2:G762)-1</f>
        <v>0.23164353492844381</v>
      </c>
      <c r="I762">
        <f>H762-MAX(H$2:H762)</f>
        <v>0</v>
      </c>
      <c r="L762" s="2">
        <f t="shared" si="45"/>
        <v>0.21315560593412974</v>
      </c>
    </row>
    <row r="763" spans="1:12" x14ac:dyDescent="0.25">
      <c r="A763" s="1">
        <v>45016</v>
      </c>
      <c r="B763">
        <v>404.66000366210898</v>
      </c>
      <c r="C763">
        <v>395.65499877929602</v>
      </c>
      <c r="D763">
        <v>400.37619934081999</v>
      </c>
      <c r="E763" t="str">
        <f t="shared" si="42"/>
        <v>Hold</v>
      </c>
      <c r="F763">
        <f t="shared" si="44"/>
        <v>1</v>
      </c>
      <c r="G763">
        <f t="shared" si="43"/>
        <v>1.0354377510718044E-2</v>
      </c>
      <c r="H763" s="12" cm="1">
        <f t="array" ref="H763">PRODUCT(1+G$2:G763)-1</f>
        <v>0.24439643704772807</v>
      </c>
      <c r="I763">
        <f>H763-MAX(H$2:H763)</f>
        <v>0</v>
      </c>
      <c r="L763" s="2">
        <f t="shared" si="45"/>
        <v>0.21486687715357747</v>
      </c>
    </row>
    <row r="764" spans="1:12" x14ac:dyDescent="0.25">
      <c r="A764" s="1">
        <v>45019</v>
      </c>
      <c r="B764">
        <v>408.850006103515</v>
      </c>
      <c r="C764">
        <v>395.84499969482403</v>
      </c>
      <c r="D764">
        <v>400.75119934081999</v>
      </c>
      <c r="E764" t="str">
        <f t="shared" si="42"/>
        <v>Hold</v>
      </c>
      <c r="F764">
        <f t="shared" si="44"/>
        <v>1</v>
      </c>
      <c r="G764">
        <f t="shared" si="43"/>
        <v>6.77507392031362E-3</v>
      </c>
      <c r="H764" s="12" cm="1">
        <f t="array" ref="H764">PRODUCT(1+G$2:G764)-1</f>
        <v>0.2528273148949014</v>
      </c>
      <c r="I764">
        <f>H764-MAX(H$2:H764)</f>
        <v>0</v>
      </c>
      <c r="L764" s="2">
        <f t="shared" si="45"/>
        <v>0.22744606742489273</v>
      </c>
    </row>
    <row r="765" spans="1:12" x14ac:dyDescent="0.25">
      <c r="A765" s="1">
        <v>45020</v>
      </c>
      <c r="B765">
        <v>411.61999511718699</v>
      </c>
      <c r="C765">
        <v>396.20499877929598</v>
      </c>
      <c r="D765">
        <v>401.04919921874898</v>
      </c>
      <c r="E765" t="str">
        <f t="shared" si="42"/>
        <v>Hold</v>
      </c>
      <c r="F765">
        <f t="shared" si="44"/>
        <v>1</v>
      </c>
      <c r="G765">
        <f t="shared" si="43"/>
        <v>-9.0131468322421707E-3</v>
      </c>
      <c r="H765" s="12" cm="1">
        <f t="array" ref="H765">PRODUCT(1+G$2:G765)-1</f>
        <v>0.2415353983503099</v>
      </c>
      <c r="I765">
        <f>H765-MAX(H$2:H765)</f>
        <v>-1.1291916544591496E-2</v>
      </c>
      <c r="L765" s="2">
        <f t="shared" si="45"/>
        <v>0.23576210526489463</v>
      </c>
    </row>
    <row r="766" spans="1:12" x14ac:dyDescent="0.25">
      <c r="A766" s="1">
        <v>45021</v>
      </c>
      <c r="B766">
        <v>407.91000366210898</v>
      </c>
      <c r="C766">
        <v>396.68099822997999</v>
      </c>
      <c r="D766">
        <v>401.22979919433499</v>
      </c>
      <c r="E766" t="str">
        <f t="shared" si="42"/>
        <v>Hold</v>
      </c>
      <c r="F766">
        <f t="shared" si="44"/>
        <v>1</v>
      </c>
      <c r="G766">
        <f t="shared" si="43"/>
        <v>-2.7947700183942594E-3</v>
      </c>
      <c r="H766" s="12" cm="1">
        <f t="array" ref="H766">PRODUCT(1+G$2:G766)-1</f>
        <v>0.23806559244222525</v>
      </c>
      <c r="I766">
        <f>H766-MAX(H$2:H766)</f>
        <v>-1.4761722452676151E-2</v>
      </c>
      <c r="L766" s="2">
        <f t="shared" si="45"/>
        <v>0.22462399996042143</v>
      </c>
    </row>
    <row r="767" spans="1:12" x14ac:dyDescent="0.25">
      <c r="A767" s="1">
        <v>45022</v>
      </c>
      <c r="B767">
        <v>406.76998901367102</v>
      </c>
      <c r="C767">
        <v>397.03249816894498</v>
      </c>
      <c r="D767">
        <v>401.44619873046798</v>
      </c>
      <c r="E767" t="str">
        <f t="shared" si="42"/>
        <v>Hold</v>
      </c>
      <c r="F767">
        <f t="shared" si="44"/>
        <v>1</v>
      </c>
      <c r="G767">
        <f t="shared" si="43"/>
        <v>-3.9335168874431495E-4</v>
      </c>
      <c r="H767" s="12" cm="1">
        <f t="array" ref="H767">PRODUCT(1+G$2:G767)-1</f>
        <v>0.23757859725066188</v>
      </c>
      <c r="I767">
        <f>H767-MAX(H$2:H767)</f>
        <v>-1.5248717644239518E-2</v>
      </c>
      <c r="L767" s="2">
        <f t="shared" si="45"/>
        <v>0.22120145752152598</v>
      </c>
    </row>
    <row r="768" spans="1:12" x14ac:dyDescent="0.25">
      <c r="A768" s="1">
        <v>45026</v>
      </c>
      <c r="B768">
        <v>406.60998535156199</v>
      </c>
      <c r="C768">
        <v>397.81349792480398</v>
      </c>
      <c r="D768">
        <v>401.515798339843</v>
      </c>
      <c r="E768" t="str">
        <f t="shared" si="42"/>
        <v>Hold</v>
      </c>
      <c r="F768">
        <f t="shared" si="44"/>
        <v>1</v>
      </c>
      <c r="G768">
        <f t="shared" si="43"/>
        <v>8.9767210485673082E-3</v>
      </c>
      <c r="H768" s="12" cm="1">
        <f t="array" ref="H768">PRODUCT(1+G$2:G768)-1</f>
        <v>0.24868799509385831</v>
      </c>
      <c r="I768">
        <f>H768-MAX(H$2:H768)</f>
        <v>-4.1393198010430954E-3</v>
      </c>
      <c r="L768" s="2">
        <f t="shared" si="45"/>
        <v>0.22072109586591288</v>
      </c>
    </row>
    <row r="769" spans="1:12" x14ac:dyDescent="0.25">
      <c r="A769" s="1">
        <v>45027</v>
      </c>
      <c r="B769">
        <v>410.260009765625</v>
      </c>
      <c r="C769">
        <v>399.235998535156</v>
      </c>
      <c r="D769">
        <v>401.64779846191402</v>
      </c>
      <c r="E769" t="str">
        <f t="shared" si="42"/>
        <v>Hold</v>
      </c>
      <c r="F769">
        <f t="shared" si="44"/>
        <v>1</v>
      </c>
      <c r="G769">
        <f t="shared" si="43"/>
        <v>3.9243048633517737E-3</v>
      </c>
      <c r="H769" s="12" cm="1">
        <f t="array" ref="H769">PRODUCT(1+G$2:G769)-1</f>
        <v>0.25358822746581411</v>
      </c>
      <c r="I769">
        <f>H769-MAX(H$2:H769)</f>
        <v>0</v>
      </c>
      <c r="L769" s="2">
        <f t="shared" si="45"/>
        <v>0.23167916862160257</v>
      </c>
    </row>
    <row r="770" spans="1:12" x14ac:dyDescent="0.25">
      <c r="A770" s="1">
        <v>45028</v>
      </c>
      <c r="B770">
        <v>411.86999511718699</v>
      </c>
      <c r="C770">
        <v>400.30449829101502</v>
      </c>
      <c r="D770">
        <v>401.82919860839797</v>
      </c>
      <c r="E770" t="str">
        <f t="shared" si="42"/>
        <v>Hold</v>
      </c>
      <c r="F770">
        <f t="shared" si="44"/>
        <v>1</v>
      </c>
      <c r="G770">
        <f t="shared" si="43"/>
        <v>-6.5311930300739557E-3</v>
      </c>
      <c r="H770" s="12" cm="1">
        <f t="array" ref="H770">PRODUCT(1+G$2:G770)-1</f>
        <v>0.24540080077200654</v>
      </c>
      <c r="I770">
        <f>H770-MAX(H$2:H770)</f>
        <v>-8.1874266938075646E-3</v>
      </c>
      <c r="L770" s="2">
        <f t="shared" si="45"/>
        <v>0.2365126531731134</v>
      </c>
    </row>
    <row r="771" spans="1:12" x14ac:dyDescent="0.25">
      <c r="A771" s="1">
        <v>45029</v>
      </c>
      <c r="B771">
        <v>409.17999267578102</v>
      </c>
      <c r="C771">
        <v>401.46899719238201</v>
      </c>
      <c r="D771">
        <v>401.99019836425703</v>
      </c>
      <c r="E771" t="str">
        <f t="shared" ref="E771:E834" si="46">IF(OR(ISBLANK(C771),ISBLANK(D771),ISBLANK(C772),ISBLANK(D772)), "Hold", IF(AND(C771&gt;C772,C772&lt;=D772), "Buy", IF(AND(C771&lt;C772,C772&gt;=D772), "Sell", "Hold")))</f>
        <v>Sell</v>
      </c>
      <c r="F771">
        <f t="shared" si="44"/>
        <v>0</v>
      </c>
      <c r="G771">
        <f t="shared" ref="G771:G834" si="47">IF(F771=1,(B772-B771)/B771,0)</f>
        <v>0</v>
      </c>
      <c r="H771" s="12" cm="1">
        <f t="array" ref="H771">PRODUCT(1+G$2:G771)-1</f>
        <v>0.24540080077200654</v>
      </c>
      <c r="I771">
        <f>H771-MAX(H$2:H771)</f>
        <v>-8.1874266938075646E-3</v>
      </c>
      <c r="L771" s="2">
        <f t="shared" si="45"/>
        <v>0.22843675035111091</v>
      </c>
    </row>
    <row r="772" spans="1:12" x14ac:dyDescent="0.25">
      <c r="A772" s="1">
        <v>45030</v>
      </c>
      <c r="B772">
        <v>412.80999755859301</v>
      </c>
      <c r="C772">
        <v>402.76849670410098</v>
      </c>
      <c r="D772">
        <v>402.14219848632803</v>
      </c>
      <c r="E772" t="str">
        <f t="shared" si="46"/>
        <v>Sell</v>
      </c>
      <c r="F772">
        <f t="shared" ref="F772:F835" si="48">IF(E772="Buy",1, IF(E772="Sell",0,F771))</f>
        <v>0</v>
      </c>
      <c r="G772">
        <f t="shared" si="47"/>
        <v>0</v>
      </c>
      <c r="H772" s="12" cm="1">
        <f t="array" ref="H772">PRODUCT(1+G$2:G772)-1</f>
        <v>0.24540080077200654</v>
      </c>
      <c r="I772">
        <f>H772-MAX(H$2:H772)</f>
        <v>-8.1874266938075646E-3</v>
      </c>
      <c r="L772" s="2">
        <f t="shared" si="45"/>
        <v>0.23933472063758468</v>
      </c>
    </row>
    <row r="773" spans="1:12" x14ac:dyDescent="0.25">
      <c r="A773" s="1">
        <v>45033</v>
      </c>
      <c r="B773">
        <v>412.36999511718699</v>
      </c>
      <c r="C773">
        <v>403.72599639892502</v>
      </c>
      <c r="D773">
        <v>402.09239868164002</v>
      </c>
      <c r="E773" t="str">
        <f t="shared" si="46"/>
        <v>Sell</v>
      </c>
      <c r="F773">
        <f t="shared" si="48"/>
        <v>0</v>
      </c>
      <c r="G773">
        <f t="shared" si="47"/>
        <v>0</v>
      </c>
      <c r="H773" s="12" cm="1">
        <f t="array" ref="H773">PRODUCT(1+G$2:G773)-1</f>
        <v>0.24540080077200654</v>
      </c>
      <c r="I773">
        <f>H773-MAX(H$2:H773)</f>
        <v>-8.1874266938075646E-3</v>
      </c>
      <c r="L773" s="2">
        <f t="shared" si="45"/>
        <v>0.23801374898955094</v>
      </c>
    </row>
    <row r="774" spans="1:12" x14ac:dyDescent="0.25">
      <c r="A774" s="1">
        <v>45034</v>
      </c>
      <c r="B774">
        <v>415.579986572265</v>
      </c>
      <c r="C774">
        <v>404.96499633789</v>
      </c>
      <c r="D774">
        <v>402.172198486328</v>
      </c>
      <c r="E774" t="str">
        <f t="shared" si="46"/>
        <v>Sell</v>
      </c>
      <c r="F774">
        <f t="shared" si="48"/>
        <v>0</v>
      </c>
      <c r="G774">
        <f t="shared" si="47"/>
        <v>0</v>
      </c>
      <c r="H774" s="12" cm="1">
        <f t="array" ref="H774">PRODUCT(1+G$2:G774)-1</f>
        <v>0.24540080077200654</v>
      </c>
      <c r="I774">
        <f>H774-MAX(H$2:H774)</f>
        <v>-8.1874266938075646E-3</v>
      </c>
      <c r="L774" s="2">
        <f t="shared" si="45"/>
        <v>0.24765075847758661</v>
      </c>
    </row>
    <row r="775" spans="1:12" x14ac:dyDescent="0.25">
      <c r="A775" s="1">
        <v>45035</v>
      </c>
      <c r="B775">
        <v>412.22000122070301</v>
      </c>
      <c r="C775">
        <v>405.71399688720697</v>
      </c>
      <c r="D775">
        <v>402.22079833984299</v>
      </c>
      <c r="E775" t="str">
        <f t="shared" si="46"/>
        <v>Sell</v>
      </c>
      <c r="F775">
        <f t="shared" si="48"/>
        <v>0</v>
      </c>
      <c r="G775">
        <f t="shared" si="47"/>
        <v>0</v>
      </c>
      <c r="H775" s="12" cm="1">
        <f t="array" ref="H775">PRODUCT(1+G$2:G775)-1</f>
        <v>0.24540080077200654</v>
      </c>
      <c r="I775">
        <f>H775-MAX(H$2:H775)</f>
        <v>-8.1874266938075646E-3</v>
      </c>
      <c r="L775" s="2">
        <f t="shared" ref="L775:L838" si="49">(B775-B$134)/B$134</f>
        <v>0.23756343856854439</v>
      </c>
    </row>
    <row r="776" spans="1:12" x14ac:dyDescent="0.25">
      <c r="A776" s="1">
        <v>45036</v>
      </c>
      <c r="B776">
        <v>411.20999145507801</v>
      </c>
      <c r="C776">
        <v>406.337995910644</v>
      </c>
      <c r="D776">
        <v>402.267598266601</v>
      </c>
      <c r="E776" t="str">
        <f t="shared" si="46"/>
        <v>Sell</v>
      </c>
      <c r="F776">
        <f t="shared" si="48"/>
        <v>0</v>
      </c>
      <c r="G776">
        <f t="shared" si="47"/>
        <v>0</v>
      </c>
      <c r="H776" s="12" cm="1">
        <f t="array" ref="H776">PRODUCT(1+G$2:G776)-1</f>
        <v>0.24540080077200654</v>
      </c>
      <c r="I776">
        <f>H776-MAX(H$2:H776)</f>
        <v>-8.1874266938075646E-3</v>
      </c>
      <c r="L776" s="2">
        <f t="shared" si="49"/>
        <v>0.23453119570106293</v>
      </c>
    </row>
    <row r="777" spans="1:12" x14ac:dyDescent="0.25">
      <c r="A777" s="1">
        <v>45037</v>
      </c>
      <c r="B777">
        <v>412.19000244140602</v>
      </c>
      <c r="C777">
        <v>407.19299621582002</v>
      </c>
      <c r="D777">
        <v>402.24879821777301</v>
      </c>
      <c r="E777" t="str">
        <f t="shared" si="46"/>
        <v>Sell</v>
      </c>
      <c r="F777">
        <f t="shared" si="48"/>
        <v>0</v>
      </c>
      <c r="G777">
        <f t="shared" si="47"/>
        <v>0</v>
      </c>
      <c r="H777" s="12" cm="1">
        <f t="array" ref="H777">PRODUCT(1+G$2:G777)-1</f>
        <v>0.24540080077200654</v>
      </c>
      <c r="I777">
        <f>H777-MAX(H$2:H777)</f>
        <v>-8.1874266938075646E-3</v>
      </c>
      <c r="L777" s="2">
        <f t="shared" si="49"/>
        <v>0.23747337648434252</v>
      </c>
    </row>
    <row r="778" spans="1:12" x14ac:dyDescent="0.25">
      <c r="A778" s="1">
        <v>45040</v>
      </c>
      <c r="B778">
        <v>411.989990234375</v>
      </c>
      <c r="C778">
        <v>408.20049591064401</v>
      </c>
      <c r="D778">
        <v>402.20039794921797</v>
      </c>
      <c r="E778" t="str">
        <f t="shared" si="46"/>
        <v>Sell</v>
      </c>
      <c r="F778">
        <f t="shared" si="48"/>
        <v>0</v>
      </c>
      <c r="G778">
        <f t="shared" si="47"/>
        <v>0</v>
      </c>
      <c r="H778" s="12" cm="1">
        <f t="array" ref="H778">PRODUCT(1+G$2:G778)-1</f>
        <v>0.24540080077200654</v>
      </c>
      <c r="I778">
        <f>H778-MAX(H$2:H778)</f>
        <v>-8.1874266938075646E-3</v>
      </c>
      <c r="L778" s="2">
        <f t="shared" si="49"/>
        <v>0.2368729015099211</v>
      </c>
    </row>
    <row r="779" spans="1:12" x14ac:dyDescent="0.25">
      <c r="A779" s="1">
        <v>45041</v>
      </c>
      <c r="B779">
        <v>410.579986572265</v>
      </c>
      <c r="C779">
        <v>408.82349548339801</v>
      </c>
      <c r="D779">
        <v>402.294797973632</v>
      </c>
      <c r="E779" t="str">
        <f t="shared" si="46"/>
        <v>Sell</v>
      </c>
      <c r="F779">
        <f t="shared" si="48"/>
        <v>0</v>
      </c>
      <c r="G779">
        <f t="shared" si="47"/>
        <v>0</v>
      </c>
      <c r="H779" s="12" cm="1">
        <f t="array" ref="H779">PRODUCT(1+G$2:G779)-1</f>
        <v>0.24540080077200654</v>
      </c>
      <c r="I779">
        <f>H779-MAX(H$2:H779)</f>
        <v>-8.1874266938075646E-3</v>
      </c>
      <c r="L779" s="2">
        <f t="shared" si="49"/>
        <v>0.23263980031321127</v>
      </c>
    </row>
    <row r="780" spans="1:12" x14ac:dyDescent="0.25">
      <c r="A780" s="1">
        <v>45042</v>
      </c>
      <c r="B780">
        <v>406.72000122070301</v>
      </c>
      <c r="C780">
        <v>409.370996093749</v>
      </c>
      <c r="D780">
        <v>402.25479797363198</v>
      </c>
      <c r="E780" t="str">
        <f t="shared" si="46"/>
        <v>Sell</v>
      </c>
      <c r="F780">
        <f t="shared" si="48"/>
        <v>0</v>
      </c>
      <c r="G780">
        <f t="shared" si="47"/>
        <v>0</v>
      </c>
      <c r="H780" s="12" cm="1">
        <f t="array" ref="H780">PRODUCT(1+G$2:G780)-1</f>
        <v>0.24540080077200654</v>
      </c>
      <c r="I780">
        <f>H780-MAX(H$2:H780)</f>
        <v>-8.1874266938075646E-3</v>
      </c>
      <c r="L780" s="2">
        <f t="shared" si="49"/>
        <v>0.22105138458773155</v>
      </c>
    </row>
    <row r="781" spans="1:12" x14ac:dyDescent="0.25">
      <c r="A781" s="1">
        <v>45043</v>
      </c>
      <c r="B781">
        <v>407</v>
      </c>
      <c r="C781">
        <v>409.72449645995999</v>
      </c>
      <c r="D781">
        <v>402.16999816894503</v>
      </c>
      <c r="E781" t="str">
        <f t="shared" si="46"/>
        <v>Sell</v>
      </c>
      <c r="F781">
        <f t="shared" si="48"/>
        <v>0</v>
      </c>
      <c r="G781">
        <f t="shared" si="47"/>
        <v>0</v>
      </c>
      <c r="H781" s="12" cm="1">
        <f t="array" ref="H781">PRODUCT(1+G$2:G781)-1</f>
        <v>0.24540080077200654</v>
      </c>
      <c r="I781">
        <f>H781-MAX(H$2:H781)</f>
        <v>-8.1874266938075646E-3</v>
      </c>
      <c r="L781" s="2">
        <f t="shared" si="49"/>
        <v>0.22189199458015219</v>
      </c>
    </row>
    <row r="782" spans="1:12" x14ac:dyDescent="0.25">
      <c r="A782" s="1">
        <v>45044</v>
      </c>
      <c r="B782">
        <v>411.489990234375</v>
      </c>
      <c r="C782">
        <v>410.09449615478502</v>
      </c>
      <c r="D782">
        <v>402.19279785156198</v>
      </c>
      <c r="E782" t="str">
        <f t="shared" si="46"/>
        <v>Sell</v>
      </c>
      <c r="F782">
        <f t="shared" si="48"/>
        <v>0</v>
      </c>
      <c r="G782">
        <f t="shared" si="47"/>
        <v>0</v>
      </c>
      <c r="H782" s="12" cm="1">
        <f t="array" ref="H782">PRODUCT(1+G$2:G782)-1</f>
        <v>0.24540080077200654</v>
      </c>
      <c r="I782">
        <f>H782-MAX(H$2:H782)</f>
        <v>-8.1874266938075646E-3</v>
      </c>
      <c r="L782" s="2">
        <f t="shared" si="49"/>
        <v>0.23537180569348357</v>
      </c>
    </row>
    <row r="783" spans="1:12" x14ac:dyDescent="0.25">
      <c r="A783" s="1">
        <v>45047</v>
      </c>
      <c r="B783">
        <v>415.47000122070301</v>
      </c>
      <c r="C783">
        <v>410.63499603271401</v>
      </c>
      <c r="D783">
        <v>402.32639770507802</v>
      </c>
      <c r="E783" t="str">
        <f t="shared" si="46"/>
        <v>Sell</v>
      </c>
      <c r="F783">
        <f t="shared" si="48"/>
        <v>0</v>
      </c>
      <c r="G783">
        <f t="shared" si="47"/>
        <v>0</v>
      </c>
      <c r="H783" s="12" cm="1">
        <f t="array" ref="H783">PRODUCT(1+G$2:G783)-1</f>
        <v>0.24540080077200654</v>
      </c>
      <c r="I783">
        <f>H783-MAX(H$2:H783)</f>
        <v>-8.1874266938075646E-3</v>
      </c>
      <c r="L783" s="2">
        <f t="shared" si="49"/>
        <v>0.24732056137538838</v>
      </c>
    </row>
    <row r="784" spans="1:12" x14ac:dyDescent="0.25">
      <c r="A784" s="1">
        <v>45048</v>
      </c>
      <c r="B784">
        <v>414.76998901367102</v>
      </c>
      <c r="C784">
        <v>410.93099517822202</v>
      </c>
      <c r="D784">
        <v>402.50059753417901</v>
      </c>
      <c r="E784" t="str">
        <f t="shared" si="46"/>
        <v>Hold</v>
      </c>
      <c r="F784">
        <f t="shared" si="48"/>
        <v>0</v>
      </c>
      <c r="G784">
        <f t="shared" si="47"/>
        <v>0</v>
      </c>
      <c r="H784" s="12" cm="1">
        <f t="array" ref="H784">PRODUCT(1+G$2:G784)-1</f>
        <v>0.24540080077200654</v>
      </c>
      <c r="I784">
        <f>H784-MAX(H$2:H784)</f>
        <v>-8.1874266938075646E-3</v>
      </c>
      <c r="L784" s="2">
        <f t="shared" si="49"/>
        <v>0.24521899058452654</v>
      </c>
    </row>
    <row r="785" spans="1:12" x14ac:dyDescent="0.25">
      <c r="A785" s="1">
        <v>45049</v>
      </c>
      <c r="B785">
        <v>411.35998535156199</v>
      </c>
      <c r="C785">
        <v>410.917994689941</v>
      </c>
      <c r="D785">
        <v>402.66659729003902</v>
      </c>
      <c r="E785" t="str">
        <f t="shared" si="46"/>
        <v>Hold</v>
      </c>
      <c r="F785">
        <f t="shared" si="48"/>
        <v>0</v>
      </c>
      <c r="G785">
        <f t="shared" si="47"/>
        <v>0</v>
      </c>
      <c r="H785" s="12" cm="1">
        <f t="array" ref="H785">PRODUCT(1+G$2:G785)-1</f>
        <v>0.24540080077200654</v>
      </c>
      <c r="I785">
        <f>H785-MAX(H$2:H785)</f>
        <v>-8.1874266938075646E-3</v>
      </c>
      <c r="L785" s="2">
        <f t="shared" si="49"/>
        <v>0.23498150612206944</v>
      </c>
    </row>
    <row r="786" spans="1:12" x14ac:dyDescent="0.25">
      <c r="A786" s="1">
        <v>45050</v>
      </c>
      <c r="B786">
        <v>406.92999267578102</v>
      </c>
      <c r="C786">
        <v>410.86899414062401</v>
      </c>
      <c r="D786">
        <v>402.814797363281</v>
      </c>
      <c r="E786" t="str">
        <f t="shared" si="46"/>
        <v>Sell</v>
      </c>
      <c r="F786">
        <f t="shared" si="48"/>
        <v>0</v>
      </c>
      <c r="G786">
        <f t="shared" si="47"/>
        <v>0</v>
      </c>
      <c r="H786" s="12" cm="1">
        <f t="array" ref="H786">PRODUCT(1+G$2:G786)-1</f>
        <v>0.24540080077200654</v>
      </c>
      <c r="I786">
        <f>H786-MAX(H$2:H786)</f>
        <v>-8.1874266938075646E-3</v>
      </c>
      <c r="L786" s="2">
        <f t="shared" si="49"/>
        <v>0.221681819177142</v>
      </c>
    </row>
    <row r="787" spans="1:12" x14ac:dyDescent="0.25">
      <c r="A787" s="1">
        <v>45051</v>
      </c>
      <c r="B787">
        <v>408.91000366210898</v>
      </c>
      <c r="C787">
        <v>410.97599487304598</v>
      </c>
      <c r="D787">
        <v>402.96179748535098</v>
      </c>
      <c r="E787" t="str">
        <f t="shared" si="46"/>
        <v>Sell</v>
      </c>
      <c r="F787">
        <f t="shared" si="48"/>
        <v>0</v>
      </c>
      <c r="G787">
        <f t="shared" si="47"/>
        <v>0</v>
      </c>
      <c r="H787" s="12" cm="1">
        <f t="array" ref="H787">PRODUCT(1+G$2:G787)-1</f>
        <v>0.24540080077200654</v>
      </c>
      <c r="I787">
        <f>H787-MAX(H$2:H787)</f>
        <v>-8.1874266938075646E-3</v>
      </c>
      <c r="L787" s="2">
        <f t="shared" si="49"/>
        <v>0.2276261915932965</v>
      </c>
    </row>
    <row r="788" spans="1:12" x14ac:dyDescent="0.25">
      <c r="A788" s="1">
        <v>45054</v>
      </c>
      <c r="B788">
        <v>412.97000122070301</v>
      </c>
      <c r="C788">
        <v>411.29399566650301</v>
      </c>
      <c r="D788">
        <v>403.31279724120998</v>
      </c>
      <c r="E788" t="str">
        <f t="shared" si="46"/>
        <v>Sell</v>
      </c>
      <c r="F788">
        <f t="shared" si="48"/>
        <v>0</v>
      </c>
      <c r="G788">
        <f t="shared" si="47"/>
        <v>0</v>
      </c>
      <c r="H788" s="12" cm="1">
        <f t="array" ref="H788">PRODUCT(1+G$2:G788)-1</f>
        <v>0.24540080077200654</v>
      </c>
      <c r="I788">
        <f>H788-MAX(H$2:H788)</f>
        <v>-8.1874266938075646E-3</v>
      </c>
      <c r="L788" s="2">
        <f t="shared" si="49"/>
        <v>0.2398150822932007</v>
      </c>
    </row>
    <row r="789" spans="1:12" x14ac:dyDescent="0.25">
      <c r="A789" s="1">
        <v>45055</v>
      </c>
      <c r="B789">
        <v>411.13000488281199</v>
      </c>
      <c r="C789">
        <v>411.33749542236302</v>
      </c>
      <c r="D789">
        <v>403.53799743652303</v>
      </c>
      <c r="E789" t="str">
        <f t="shared" si="46"/>
        <v>Sell</v>
      </c>
      <c r="F789">
        <f t="shared" si="48"/>
        <v>0</v>
      </c>
      <c r="G789">
        <f t="shared" si="47"/>
        <v>0</v>
      </c>
      <c r="H789" s="12" cm="1">
        <f t="array" ref="H789">PRODUCT(1+G$2:G789)-1</f>
        <v>0.24540080077200654</v>
      </c>
      <c r="I789">
        <f>H789-MAX(H$2:H789)</f>
        <v>-8.1874266938075646E-3</v>
      </c>
      <c r="L789" s="2">
        <f t="shared" si="49"/>
        <v>0.23429106068306352</v>
      </c>
    </row>
    <row r="790" spans="1:12" x14ac:dyDescent="0.25">
      <c r="A790" s="1">
        <v>45056</v>
      </c>
      <c r="B790">
        <v>413.88000488281199</v>
      </c>
      <c r="C790">
        <v>411.43799591064402</v>
      </c>
      <c r="D790">
        <v>403.87099731445301</v>
      </c>
      <c r="E790" t="str">
        <f t="shared" si="46"/>
        <v>Sell</v>
      </c>
      <c r="F790">
        <f t="shared" si="48"/>
        <v>0</v>
      </c>
      <c r="G790">
        <f t="shared" si="47"/>
        <v>0</v>
      </c>
      <c r="H790" s="12" cm="1">
        <f t="array" ref="H790">PRODUCT(1+G$2:G790)-1</f>
        <v>0.24540080077200654</v>
      </c>
      <c r="I790">
        <f>H790-MAX(H$2:H790)</f>
        <v>-8.1874266938075646E-3</v>
      </c>
      <c r="L790" s="2">
        <f t="shared" si="49"/>
        <v>0.24254708767346994</v>
      </c>
    </row>
    <row r="791" spans="1:12" x14ac:dyDescent="0.25">
      <c r="A791" s="1">
        <v>45057</v>
      </c>
      <c r="B791">
        <v>411.95001220703102</v>
      </c>
      <c r="C791">
        <v>411.57649688720699</v>
      </c>
      <c r="D791">
        <v>404.20179748535099</v>
      </c>
      <c r="E791" t="str">
        <f t="shared" si="46"/>
        <v>Sell</v>
      </c>
      <c r="F791">
        <f t="shared" si="48"/>
        <v>0</v>
      </c>
      <c r="G791">
        <f t="shared" si="47"/>
        <v>0</v>
      </c>
      <c r="H791" s="12" cm="1">
        <f t="array" ref="H791">PRODUCT(1+G$2:G791)-1</f>
        <v>0.24540080077200654</v>
      </c>
      <c r="I791">
        <f>H791-MAX(H$2:H791)</f>
        <v>-8.1874266938075646E-3</v>
      </c>
      <c r="L791" s="2">
        <f t="shared" si="49"/>
        <v>0.23675287981073018</v>
      </c>
    </row>
    <row r="792" spans="1:12" x14ac:dyDescent="0.25">
      <c r="A792" s="1">
        <v>45058</v>
      </c>
      <c r="B792">
        <v>413.42001342773398</v>
      </c>
      <c r="C792">
        <v>411.60699768066399</v>
      </c>
      <c r="D792">
        <v>404.61659790038999</v>
      </c>
      <c r="E792" t="str">
        <f t="shared" si="46"/>
        <v>Hold</v>
      </c>
      <c r="F792">
        <f t="shared" si="48"/>
        <v>0</v>
      </c>
      <c r="G792">
        <f t="shared" si="47"/>
        <v>0</v>
      </c>
      <c r="H792" s="12" cm="1">
        <f t="array" ref="H792">PRODUCT(1+G$2:G792)-1</f>
        <v>0.24540080077200654</v>
      </c>
      <c r="I792">
        <f>H792-MAX(H$2:H792)</f>
        <v>-8.1874266938075646E-3</v>
      </c>
      <c r="L792" s="2">
        <f t="shared" si="49"/>
        <v>0.24116610517584072</v>
      </c>
    </row>
    <row r="793" spans="1:12" x14ac:dyDescent="0.25">
      <c r="A793" s="1">
        <v>45061</v>
      </c>
      <c r="B793">
        <v>412.22000122070301</v>
      </c>
      <c r="C793">
        <v>411.59949798583898</v>
      </c>
      <c r="D793">
        <v>404.86679809570302</v>
      </c>
      <c r="E793" t="str">
        <f t="shared" si="46"/>
        <v>Hold</v>
      </c>
      <c r="F793">
        <f t="shared" si="48"/>
        <v>0</v>
      </c>
      <c r="G793">
        <f t="shared" si="47"/>
        <v>0</v>
      </c>
      <c r="H793" s="12" cm="1">
        <f t="array" ref="H793">PRODUCT(1+G$2:G793)-1</f>
        <v>0.24540080077200654</v>
      </c>
      <c r="I793">
        <f>H793-MAX(H$2:H793)</f>
        <v>-8.1874266938075646E-3</v>
      </c>
      <c r="L793" s="2">
        <f t="shared" si="49"/>
        <v>0.23756343856854439</v>
      </c>
    </row>
    <row r="794" spans="1:12" x14ac:dyDescent="0.25">
      <c r="A794" s="1">
        <v>45062</v>
      </c>
      <c r="B794">
        <v>411.85998535156199</v>
      </c>
      <c r="C794">
        <v>411.41349792480401</v>
      </c>
      <c r="D794">
        <v>405.00299804687398</v>
      </c>
      <c r="E794" t="str">
        <f t="shared" si="46"/>
        <v>Sell</v>
      </c>
      <c r="F794">
        <f t="shared" si="48"/>
        <v>0</v>
      </c>
      <c r="G794">
        <f t="shared" si="47"/>
        <v>0</v>
      </c>
      <c r="H794" s="12" cm="1">
        <f t="array" ref="H794">PRODUCT(1+G$2:G794)-1</f>
        <v>0.24540080077200654</v>
      </c>
      <c r="I794">
        <f>H794-MAX(H$2:H794)</f>
        <v>-8.1874266938075646E-3</v>
      </c>
      <c r="L794" s="2">
        <f t="shared" si="49"/>
        <v>0.23648260193850698</v>
      </c>
    </row>
    <row r="795" spans="1:12" x14ac:dyDescent="0.25">
      <c r="A795" s="1">
        <v>45063</v>
      </c>
      <c r="B795">
        <v>412.350006103515</v>
      </c>
      <c r="C795">
        <v>411.41999816894503</v>
      </c>
      <c r="D795">
        <v>405.16159790039001</v>
      </c>
      <c r="E795" t="str">
        <f t="shared" si="46"/>
        <v>Sell</v>
      </c>
      <c r="F795">
        <f t="shared" si="48"/>
        <v>0</v>
      </c>
      <c r="G795">
        <f t="shared" si="47"/>
        <v>0</v>
      </c>
      <c r="H795" s="12" cm="1">
        <f t="array" ref="H795">PRODUCT(1+G$2:G795)-1</f>
        <v>0.24540080077200654</v>
      </c>
      <c r="I795">
        <f>H795-MAX(H$2:H795)</f>
        <v>-8.1874266938075646E-3</v>
      </c>
      <c r="L795" s="2">
        <f t="shared" si="49"/>
        <v>0.23795373813995546</v>
      </c>
    </row>
    <row r="796" spans="1:12" x14ac:dyDescent="0.25">
      <c r="A796" s="1">
        <v>45064</v>
      </c>
      <c r="B796">
        <v>414.89999389648398</v>
      </c>
      <c r="C796">
        <v>411.60449829101498</v>
      </c>
      <c r="D796">
        <v>405.49179748535101</v>
      </c>
      <c r="E796" t="str">
        <f t="shared" si="46"/>
        <v>Sell</v>
      </c>
      <c r="F796">
        <f t="shared" si="48"/>
        <v>0</v>
      </c>
      <c r="G796">
        <f t="shared" si="47"/>
        <v>0</v>
      </c>
      <c r="H796" s="12" cm="1">
        <f t="array" ref="H796">PRODUCT(1+G$2:G796)-1</f>
        <v>0.24540080077200654</v>
      </c>
      <c r="I796">
        <f>H796-MAX(H$2:H796)</f>
        <v>-8.1874266938075646E-3</v>
      </c>
      <c r="L796" s="2">
        <f t="shared" si="49"/>
        <v>0.24560929015594049</v>
      </c>
    </row>
    <row r="797" spans="1:12" x14ac:dyDescent="0.25">
      <c r="A797" s="1">
        <v>45065</v>
      </c>
      <c r="B797">
        <v>420.17001342773398</v>
      </c>
      <c r="C797">
        <v>412.00349884033199</v>
      </c>
      <c r="D797">
        <v>405.90039794921802</v>
      </c>
      <c r="E797" t="str">
        <f t="shared" si="46"/>
        <v>Sell</v>
      </c>
      <c r="F797">
        <f t="shared" si="48"/>
        <v>0</v>
      </c>
      <c r="G797">
        <f t="shared" si="47"/>
        <v>0</v>
      </c>
      <c r="H797" s="12" cm="1">
        <f t="array" ref="H797">PRODUCT(1+G$2:G797)-1</f>
        <v>0.24540080077200654</v>
      </c>
      <c r="I797">
        <f>H797-MAX(H$2:H797)</f>
        <v>-8.1874266938075646E-3</v>
      </c>
      <c r="L797" s="2">
        <f t="shared" si="49"/>
        <v>0.26143089869774744</v>
      </c>
    </row>
    <row r="798" spans="1:12" x14ac:dyDescent="0.25">
      <c r="A798" s="1">
        <v>45068</v>
      </c>
      <c r="B798">
        <v>418.64001464843699</v>
      </c>
      <c r="C798">
        <v>412.33600006103501</v>
      </c>
      <c r="D798">
        <v>406.453398437499</v>
      </c>
      <c r="E798" t="str">
        <f t="shared" si="46"/>
        <v>Sell</v>
      </c>
      <c r="F798">
        <f t="shared" si="48"/>
        <v>0</v>
      </c>
      <c r="G798">
        <f t="shared" si="47"/>
        <v>0</v>
      </c>
      <c r="H798" s="12" cm="1">
        <f t="array" ref="H798">PRODUCT(1+G$2:G798)-1</f>
        <v>0.24540080077200654</v>
      </c>
      <c r="I798">
        <f>H798-MAX(H$2:H798)</f>
        <v>-8.1874266938075646E-3</v>
      </c>
      <c r="L798" s="2">
        <f t="shared" si="49"/>
        <v>0.2568375491642329</v>
      </c>
    </row>
    <row r="799" spans="1:12" x14ac:dyDescent="0.25">
      <c r="A799" s="1">
        <v>45069</v>
      </c>
      <c r="B799">
        <v>417.079986572265</v>
      </c>
      <c r="C799">
        <v>412.661000061035</v>
      </c>
      <c r="D799">
        <v>407.15879821777298</v>
      </c>
      <c r="E799" t="str">
        <f t="shared" si="46"/>
        <v>Sell</v>
      </c>
      <c r="F799">
        <f t="shared" si="48"/>
        <v>0</v>
      </c>
      <c r="G799">
        <f t="shared" si="47"/>
        <v>0</v>
      </c>
      <c r="H799" s="12" cm="1">
        <f t="array" ref="H799">PRODUCT(1+G$2:G799)-1</f>
        <v>0.24540080077200654</v>
      </c>
      <c r="I799">
        <f>H799-MAX(H$2:H799)</f>
        <v>-8.1874266938075646E-3</v>
      </c>
      <c r="L799" s="2">
        <f t="shared" si="49"/>
        <v>0.25215404592689922</v>
      </c>
    </row>
    <row r="800" spans="1:12" x14ac:dyDescent="0.25">
      <c r="A800" s="1">
        <v>45070</v>
      </c>
      <c r="B800">
        <v>412.42001342773398</v>
      </c>
      <c r="C800">
        <v>412.946000671386</v>
      </c>
      <c r="D800">
        <v>407.59719848632801</v>
      </c>
      <c r="E800" t="str">
        <f t="shared" si="46"/>
        <v>Sell</v>
      </c>
      <c r="F800">
        <f t="shared" si="48"/>
        <v>0</v>
      </c>
      <c r="G800">
        <f t="shared" si="47"/>
        <v>0</v>
      </c>
      <c r="H800" s="12" cm="1">
        <f t="array" ref="H800">PRODUCT(1+G$2:G800)-1</f>
        <v>0.24540080077200654</v>
      </c>
      <c r="I800">
        <f>H800-MAX(H$2:H800)</f>
        <v>-8.1874266938075646E-3</v>
      </c>
      <c r="L800" s="2">
        <f t="shared" si="49"/>
        <v>0.23816391354296565</v>
      </c>
    </row>
    <row r="801" spans="1:12" x14ac:dyDescent="0.25">
      <c r="A801" s="1">
        <v>45071</v>
      </c>
      <c r="B801">
        <v>414.739990234375</v>
      </c>
      <c r="C801">
        <v>413.33300018310501</v>
      </c>
      <c r="D801">
        <v>408.174197998046</v>
      </c>
      <c r="E801" t="str">
        <f t="shared" si="46"/>
        <v>Sell</v>
      </c>
      <c r="F801">
        <f t="shared" si="48"/>
        <v>0</v>
      </c>
      <c r="G801">
        <f t="shared" si="47"/>
        <v>0</v>
      </c>
      <c r="H801" s="12" cm="1">
        <f t="array" ref="H801">PRODUCT(1+G$2:G801)-1</f>
        <v>0.24540080077200654</v>
      </c>
      <c r="I801">
        <f>H801-MAX(H$2:H801)</f>
        <v>-8.1874266938075646E-3</v>
      </c>
      <c r="L801" s="2">
        <f t="shared" si="49"/>
        <v>0.24512892850032755</v>
      </c>
    </row>
    <row r="802" spans="1:12" x14ac:dyDescent="0.25">
      <c r="A802" s="1">
        <v>45072</v>
      </c>
      <c r="B802">
        <v>415.329986572265</v>
      </c>
      <c r="C802">
        <v>413.52499999999998</v>
      </c>
      <c r="D802">
        <v>408.74439758300701</v>
      </c>
      <c r="E802" t="str">
        <f t="shared" si="46"/>
        <v>Sell</v>
      </c>
      <c r="F802">
        <f t="shared" si="48"/>
        <v>0</v>
      </c>
      <c r="G802">
        <f t="shared" si="47"/>
        <v>0</v>
      </c>
      <c r="H802" s="12" cm="1">
        <f t="array" ref="H802">PRODUCT(1+G$2:G802)-1</f>
        <v>0.24540080077200654</v>
      </c>
      <c r="I802">
        <f>H802-MAX(H$2:H802)</f>
        <v>-8.1874266938075646E-3</v>
      </c>
      <c r="L802" s="2">
        <f t="shared" si="49"/>
        <v>0.24690021056936784</v>
      </c>
    </row>
    <row r="803" spans="1:12" x14ac:dyDescent="0.25">
      <c r="A803" s="1">
        <v>45076</v>
      </c>
      <c r="B803">
        <v>422.02999877929602</v>
      </c>
      <c r="C803">
        <v>413.85299987792899</v>
      </c>
      <c r="D803">
        <v>409.320597534179</v>
      </c>
      <c r="E803" t="str">
        <f t="shared" si="46"/>
        <v>Sell</v>
      </c>
      <c r="F803">
        <f t="shared" si="48"/>
        <v>0</v>
      </c>
      <c r="G803">
        <f t="shared" si="47"/>
        <v>0</v>
      </c>
      <c r="H803" s="12" cm="1">
        <f t="array" ref="H803">PRODUCT(1+G$2:G803)-1</f>
        <v>0.24540080077200654</v>
      </c>
      <c r="I803">
        <f>H803-MAX(H$2:H803)</f>
        <v>-8.1874266938075646E-3</v>
      </c>
      <c r="L803" s="2">
        <f t="shared" si="49"/>
        <v>0.26701493115747715</v>
      </c>
    </row>
    <row r="804" spans="1:12" x14ac:dyDescent="0.25">
      <c r="A804" s="1">
        <v>45077</v>
      </c>
      <c r="B804">
        <v>418.27999877929602</v>
      </c>
      <c r="C804">
        <v>414.02850036620998</v>
      </c>
      <c r="D804">
        <v>409.87019775390598</v>
      </c>
      <c r="E804" t="str">
        <f t="shared" si="46"/>
        <v>Sell</v>
      </c>
      <c r="F804">
        <f t="shared" si="48"/>
        <v>0</v>
      </c>
      <c r="G804">
        <f t="shared" si="47"/>
        <v>0</v>
      </c>
      <c r="H804" s="12" cm="1">
        <f t="array" ref="H804">PRODUCT(1+G$2:G804)-1</f>
        <v>0.24540080077200654</v>
      </c>
      <c r="I804">
        <f>H804-MAX(H$2:H804)</f>
        <v>-8.1874266938075646E-3</v>
      </c>
      <c r="L804" s="2">
        <f t="shared" si="49"/>
        <v>0.25575671253419568</v>
      </c>
    </row>
    <row r="805" spans="1:12" x14ac:dyDescent="0.25">
      <c r="A805" s="1">
        <v>45078</v>
      </c>
      <c r="B805">
        <v>418.08999633789</v>
      </c>
      <c r="C805">
        <v>414.36500091552699</v>
      </c>
      <c r="D805">
        <v>410.28719787597601</v>
      </c>
      <c r="E805" t="str">
        <f t="shared" si="46"/>
        <v>Sell</v>
      </c>
      <c r="F805">
        <f t="shared" si="48"/>
        <v>0</v>
      </c>
      <c r="G805">
        <f t="shared" si="47"/>
        <v>0</v>
      </c>
      <c r="H805" s="12" cm="1">
        <f t="array" ref="H805">PRODUCT(1+G$2:G805)-1</f>
        <v>0.24540080077200654</v>
      </c>
      <c r="I805">
        <f>H805-MAX(H$2:H805)</f>
        <v>-8.1874266938075646E-3</v>
      </c>
      <c r="L805" s="2">
        <f t="shared" si="49"/>
        <v>0.25518628879438066</v>
      </c>
    </row>
    <row r="806" spans="1:12" x14ac:dyDescent="0.25">
      <c r="A806" s="1">
        <v>45079</v>
      </c>
      <c r="B806">
        <v>424.5</v>
      </c>
      <c r="C806">
        <v>415.24350128173802</v>
      </c>
      <c r="D806">
        <v>410.80259765624902</v>
      </c>
      <c r="E806" t="str">
        <f t="shared" si="46"/>
        <v>Sell</v>
      </c>
      <c r="F806">
        <f t="shared" si="48"/>
        <v>0</v>
      </c>
      <c r="G806">
        <f t="shared" si="47"/>
        <v>0</v>
      </c>
      <c r="H806" s="12" cm="1">
        <f t="array" ref="H806">PRODUCT(1+G$2:G806)-1</f>
        <v>0.24540080077200654</v>
      </c>
      <c r="I806">
        <f>H806-MAX(H$2:H806)</f>
        <v>-8.1874266938075646E-3</v>
      </c>
      <c r="L806" s="2">
        <f t="shared" si="49"/>
        <v>0.27443034815546585</v>
      </c>
    </row>
    <row r="807" spans="1:12" x14ac:dyDescent="0.25">
      <c r="A807" s="1">
        <v>45082</v>
      </c>
      <c r="B807">
        <v>428.27999877929602</v>
      </c>
      <c r="C807">
        <v>416.21200103759702</v>
      </c>
      <c r="D807">
        <v>411.46639770507801</v>
      </c>
      <c r="E807" t="str">
        <f t="shared" si="46"/>
        <v>Sell</v>
      </c>
      <c r="F807">
        <f t="shared" si="48"/>
        <v>0</v>
      </c>
      <c r="G807">
        <f t="shared" si="47"/>
        <v>0</v>
      </c>
      <c r="H807" s="12" cm="1">
        <f t="array" ref="H807">PRODUCT(1+G$2:G807)-1</f>
        <v>0.24540080077200654</v>
      </c>
      <c r="I807">
        <f>H807-MAX(H$2:H807)</f>
        <v>-8.1874266938075646E-3</v>
      </c>
      <c r="L807" s="2">
        <f t="shared" si="49"/>
        <v>0.28577862886294636</v>
      </c>
    </row>
    <row r="808" spans="1:12" x14ac:dyDescent="0.25">
      <c r="A808" s="1">
        <v>45083</v>
      </c>
      <c r="B808">
        <v>426.67001342773398</v>
      </c>
      <c r="C808">
        <v>416.89700164794903</v>
      </c>
      <c r="D808">
        <v>412.16299804687497</v>
      </c>
      <c r="E808" t="str">
        <f t="shared" si="46"/>
        <v>Sell</v>
      </c>
      <c r="F808">
        <f t="shared" si="48"/>
        <v>0</v>
      </c>
      <c r="G808">
        <f t="shared" si="47"/>
        <v>0</v>
      </c>
      <c r="H808" s="12" cm="1">
        <f t="array" ref="H808">PRODUCT(1+G$2:G808)-1</f>
        <v>0.24540080077200654</v>
      </c>
      <c r="I808">
        <f>H808-MAX(H$2:H808)</f>
        <v>-8.1874266938075646E-3</v>
      </c>
      <c r="L808" s="2">
        <f t="shared" si="49"/>
        <v>0.28094514431143536</v>
      </c>
    </row>
    <row r="809" spans="1:12" x14ac:dyDescent="0.25">
      <c r="A809" s="1">
        <v>45084</v>
      </c>
      <c r="B809">
        <v>428.44000244140602</v>
      </c>
      <c r="C809">
        <v>417.76250152587801</v>
      </c>
      <c r="D809">
        <v>412.769398193359</v>
      </c>
      <c r="E809" t="str">
        <f t="shared" si="46"/>
        <v>Sell</v>
      </c>
      <c r="F809">
        <f t="shared" si="48"/>
        <v>0</v>
      </c>
      <c r="G809">
        <f t="shared" si="47"/>
        <v>0</v>
      </c>
      <c r="H809" s="12" cm="1">
        <f t="array" ref="H809">PRODUCT(1+G$2:G809)-1</f>
        <v>0.24540080077200654</v>
      </c>
      <c r="I809">
        <f>H809-MAX(H$2:H809)</f>
        <v>-8.1874266938075646E-3</v>
      </c>
      <c r="L809" s="2">
        <f t="shared" si="49"/>
        <v>0.28625899051856235</v>
      </c>
    </row>
    <row r="810" spans="1:12" x14ac:dyDescent="0.25">
      <c r="A810" s="1">
        <v>45085</v>
      </c>
      <c r="B810">
        <v>426.61999511718699</v>
      </c>
      <c r="C810">
        <v>418.39950103759702</v>
      </c>
      <c r="D810">
        <v>413.38639831542901</v>
      </c>
      <c r="E810" t="str">
        <f t="shared" si="46"/>
        <v>Sell</v>
      </c>
      <c r="F810">
        <f t="shared" si="48"/>
        <v>0</v>
      </c>
      <c r="G810">
        <f t="shared" si="47"/>
        <v>0</v>
      </c>
      <c r="H810" s="12" cm="1">
        <f t="array" ref="H810">PRODUCT(1+G$2:G810)-1</f>
        <v>0.24540080077200654</v>
      </c>
      <c r="I810">
        <f>H810-MAX(H$2:H810)</f>
        <v>-8.1874266938075646E-3</v>
      </c>
      <c r="L810" s="2">
        <f t="shared" si="49"/>
        <v>0.28079497975802065</v>
      </c>
    </row>
    <row r="811" spans="1:12" x14ac:dyDescent="0.25">
      <c r="A811" s="1">
        <v>45086</v>
      </c>
      <c r="B811">
        <v>429.95999145507801</v>
      </c>
      <c r="C811">
        <v>419.3</v>
      </c>
      <c r="D811">
        <v>413.98699829101503</v>
      </c>
      <c r="E811" t="str">
        <f t="shared" si="46"/>
        <v>Sell</v>
      </c>
      <c r="F811">
        <f t="shared" si="48"/>
        <v>0</v>
      </c>
      <c r="G811">
        <f t="shared" si="47"/>
        <v>0</v>
      </c>
      <c r="H811" s="12" cm="1">
        <f t="array" ref="H811">PRODUCT(1+G$2:G811)-1</f>
        <v>0.24540080077200654</v>
      </c>
      <c r="I811">
        <f>H811-MAX(H$2:H811)</f>
        <v>-8.1874266938075646E-3</v>
      </c>
      <c r="L811" s="2">
        <f t="shared" si="49"/>
        <v>0.29082228881747041</v>
      </c>
    </row>
    <row r="812" spans="1:12" x14ac:dyDescent="0.25">
      <c r="A812" s="1">
        <v>45089</v>
      </c>
      <c r="B812">
        <v>430.92001342773398</v>
      </c>
      <c r="C812">
        <v>420.17500000000001</v>
      </c>
      <c r="D812">
        <v>414.52359863281202</v>
      </c>
      <c r="E812" t="str">
        <f t="shared" si="46"/>
        <v>Sell</v>
      </c>
      <c r="F812">
        <f t="shared" si="48"/>
        <v>0</v>
      </c>
      <c r="G812">
        <f t="shared" si="47"/>
        <v>0</v>
      </c>
      <c r="H812" s="12" cm="1">
        <f t="array" ref="H812">PRODUCT(1+G$2:G812)-1</f>
        <v>0.24540080077200654</v>
      </c>
      <c r="I812">
        <f>H812-MAX(H$2:H812)</f>
        <v>-8.1874266938075646E-3</v>
      </c>
      <c r="L812" s="2">
        <f t="shared" si="49"/>
        <v>0.29370445875115436</v>
      </c>
    </row>
    <row r="813" spans="1:12" x14ac:dyDescent="0.25">
      <c r="A813" s="1">
        <v>45090</v>
      </c>
      <c r="B813">
        <v>435.32000732421801</v>
      </c>
      <c r="C813">
        <v>421.33000030517502</v>
      </c>
      <c r="D813">
        <v>415.13679870605398</v>
      </c>
      <c r="E813" t="str">
        <f t="shared" si="46"/>
        <v>Sell</v>
      </c>
      <c r="F813">
        <f t="shared" si="48"/>
        <v>0</v>
      </c>
      <c r="G813">
        <f t="shared" si="47"/>
        <v>0</v>
      </c>
      <c r="H813" s="12" cm="1">
        <f t="array" ref="H813">PRODUCT(1+G$2:G813)-1</f>
        <v>0.24540080077200654</v>
      </c>
      <c r="I813">
        <f>H813-MAX(H$2:H813)</f>
        <v>-8.1874266938075646E-3</v>
      </c>
      <c r="L813" s="2">
        <f t="shared" si="49"/>
        <v>0.30691408361188011</v>
      </c>
    </row>
    <row r="814" spans="1:12" x14ac:dyDescent="0.25">
      <c r="A814" s="1">
        <v>45091</v>
      </c>
      <c r="B814">
        <v>437.010009765625</v>
      </c>
      <c r="C814">
        <v>422.587501525878</v>
      </c>
      <c r="D814">
        <v>415.69999877929598</v>
      </c>
      <c r="E814" t="str">
        <f t="shared" si="46"/>
        <v>Sell</v>
      </c>
      <c r="F814">
        <f t="shared" si="48"/>
        <v>0</v>
      </c>
      <c r="G814">
        <f t="shared" si="47"/>
        <v>0</v>
      </c>
      <c r="H814" s="12" cm="1">
        <f t="array" ref="H814">PRODUCT(1+G$2:G814)-1</f>
        <v>0.24540080077200654</v>
      </c>
      <c r="I814">
        <f>H814-MAX(H$2:H814)</f>
        <v>-8.1874266938075646E-3</v>
      </c>
      <c r="L814" s="2">
        <f t="shared" si="49"/>
        <v>0.31198779480101063</v>
      </c>
    </row>
    <row r="815" spans="1:12" x14ac:dyDescent="0.25">
      <c r="A815" s="1">
        <v>45092</v>
      </c>
      <c r="B815">
        <v>436.329986572265</v>
      </c>
      <c r="C815">
        <v>423.78650054931597</v>
      </c>
      <c r="D815">
        <v>416.19419860839798</v>
      </c>
      <c r="E815" t="str">
        <f t="shared" si="46"/>
        <v>Sell</v>
      </c>
      <c r="F815">
        <f t="shared" si="48"/>
        <v>0</v>
      </c>
      <c r="G815">
        <f t="shared" si="47"/>
        <v>0</v>
      </c>
      <c r="H815" s="12" cm="1">
        <f t="array" ref="H815">PRODUCT(1+G$2:G815)-1</f>
        <v>0.24540080077200654</v>
      </c>
      <c r="I815">
        <f>H815-MAX(H$2:H815)</f>
        <v>-8.1874266938075646E-3</v>
      </c>
      <c r="L815" s="2">
        <f t="shared" si="49"/>
        <v>0.30994623485974421</v>
      </c>
    </row>
    <row r="816" spans="1:12" x14ac:dyDescent="0.25">
      <c r="A816" s="1">
        <v>45093</v>
      </c>
      <c r="B816">
        <v>443.01998901367102</v>
      </c>
      <c r="C816">
        <v>425.19250030517497</v>
      </c>
      <c r="D816">
        <v>416.896398315429</v>
      </c>
      <c r="E816" t="str">
        <f t="shared" si="46"/>
        <v>Sell</v>
      </c>
      <c r="F816">
        <f t="shared" si="48"/>
        <v>0</v>
      </c>
      <c r="G816">
        <f t="shared" si="47"/>
        <v>0</v>
      </c>
      <c r="H816" s="12" cm="1">
        <f t="array" ref="H816">PRODUCT(1+G$2:G816)-1</f>
        <v>0.24540080077200654</v>
      </c>
      <c r="I816">
        <f>H816-MAX(H$2:H816)</f>
        <v>-8.1874266938075646E-3</v>
      </c>
      <c r="L816" s="2">
        <f t="shared" si="49"/>
        <v>0.33003090421324716</v>
      </c>
    </row>
    <row r="817" spans="1:12" x14ac:dyDescent="0.25">
      <c r="A817" s="1">
        <v>45097</v>
      </c>
      <c r="B817">
        <v>437.45001220703102</v>
      </c>
      <c r="C817">
        <v>426.05650024414001</v>
      </c>
      <c r="D817">
        <v>417.50999877929598</v>
      </c>
      <c r="E817" t="str">
        <f t="shared" si="46"/>
        <v>Sell</v>
      </c>
      <c r="F817">
        <f t="shared" si="48"/>
        <v>0</v>
      </c>
      <c r="G817">
        <f t="shared" si="47"/>
        <v>0</v>
      </c>
      <c r="H817" s="12" cm="1">
        <f t="array" ref="H817">PRODUCT(1+G$2:G817)-1</f>
        <v>0.24540080077200654</v>
      </c>
      <c r="I817">
        <f>H817-MAX(H$2:H817)</f>
        <v>-8.1874266938075646E-3</v>
      </c>
      <c r="L817" s="2">
        <f t="shared" si="49"/>
        <v>0.31330876644904437</v>
      </c>
    </row>
    <row r="818" spans="1:12" x14ac:dyDescent="0.25">
      <c r="A818" s="1">
        <v>45098</v>
      </c>
      <c r="B818">
        <v>436.16000366210898</v>
      </c>
      <c r="C818">
        <v>426.932499694824</v>
      </c>
      <c r="D818">
        <v>418.10099914550699</v>
      </c>
      <c r="E818" t="str">
        <f t="shared" si="46"/>
        <v>Sell</v>
      </c>
      <c r="F818">
        <f t="shared" si="48"/>
        <v>0</v>
      </c>
      <c r="G818">
        <f t="shared" si="47"/>
        <v>0</v>
      </c>
      <c r="H818" s="12" cm="1">
        <f t="array" ref="H818">PRODUCT(1+G$2:G818)-1</f>
        <v>0.24540080077200654</v>
      </c>
      <c r="I818">
        <f>H818-MAX(H$2:H818)</f>
        <v>-8.1874266938075646E-3</v>
      </c>
      <c r="L818" s="2">
        <f t="shared" si="49"/>
        <v>0.30943591358914208</v>
      </c>
    </row>
    <row r="819" spans="1:12" x14ac:dyDescent="0.25">
      <c r="A819" s="1">
        <v>45099</v>
      </c>
      <c r="B819">
        <v>433.95001220703102</v>
      </c>
      <c r="C819">
        <v>427.77600097656199</v>
      </c>
      <c r="D819">
        <v>418.57479919433501</v>
      </c>
      <c r="E819" t="str">
        <f t="shared" si="46"/>
        <v>Sell</v>
      </c>
      <c r="F819">
        <f t="shared" si="48"/>
        <v>0</v>
      </c>
      <c r="G819">
        <f t="shared" si="47"/>
        <v>0</v>
      </c>
      <c r="H819" s="12" cm="1">
        <f t="array" ref="H819">PRODUCT(1+G$2:G819)-1</f>
        <v>0.24540080077200654</v>
      </c>
      <c r="I819">
        <f>H819-MAX(H$2:H819)</f>
        <v>-8.1874266938075646E-3</v>
      </c>
      <c r="L819" s="2">
        <f t="shared" si="49"/>
        <v>0.30280109573398162</v>
      </c>
    </row>
    <row r="820" spans="1:12" x14ac:dyDescent="0.25">
      <c r="A820" s="1">
        <v>45100</v>
      </c>
      <c r="B820">
        <v>432.92999267578102</v>
      </c>
      <c r="C820">
        <v>428.80149993896401</v>
      </c>
      <c r="D820">
        <v>418.99599914550703</v>
      </c>
      <c r="E820" t="str">
        <f t="shared" si="46"/>
        <v>Sell</v>
      </c>
      <c r="F820">
        <f t="shared" si="48"/>
        <v>0</v>
      </c>
      <c r="G820">
        <f t="shared" si="47"/>
        <v>0</v>
      </c>
      <c r="H820" s="12" cm="1">
        <f t="array" ref="H820">PRODUCT(1+G$2:G820)-1</f>
        <v>0.24540080077200654</v>
      </c>
      <c r="I820">
        <f>H820-MAX(H$2:H820)</f>
        <v>-8.1874266938075646E-3</v>
      </c>
      <c r="L820" s="2">
        <f t="shared" si="49"/>
        <v>0.29973880163189376</v>
      </c>
    </row>
    <row r="821" spans="1:12" x14ac:dyDescent="0.25">
      <c r="A821" s="1">
        <v>45103</v>
      </c>
      <c r="B821">
        <v>432.61999511718699</v>
      </c>
      <c r="C821">
        <v>429.69550018310503</v>
      </c>
      <c r="D821">
        <v>419.464799194335</v>
      </c>
      <c r="E821" t="str">
        <f t="shared" si="46"/>
        <v>Sell</v>
      </c>
      <c r="F821">
        <f t="shared" si="48"/>
        <v>0</v>
      </c>
      <c r="G821">
        <f t="shared" si="47"/>
        <v>0</v>
      </c>
      <c r="H821" s="12" cm="1">
        <f t="array" ref="H821">PRODUCT(1+G$2:G821)-1</f>
        <v>0.24540080077200654</v>
      </c>
      <c r="I821">
        <f>H821-MAX(H$2:H821)</f>
        <v>-8.1874266938075646E-3</v>
      </c>
      <c r="L821" s="2">
        <f t="shared" si="49"/>
        <v>0.29880812955527103</v>
      </c>
    </row>
    <row r="822" spans="1:12" x14ac:dyDescent="0.25">
      <c r="A822" s="1">
        <v>45104</v>
      </c>
      <c r="B822">
        <v>432.350006103515</v>
      </c>
      <c r="C822">
        <v>430.546501159667</v>
      </c>
      <c r="D822">
        <v>419.85559936523401</v>
      </c>
      <c r="E822" t="str">
        <f t="shared" si="46"/>
        <v>Sell</v>
      </c>
      <c r="F822">
        <f t="shared" si="48"/>
        <v>0</v>
      </c>
      <c r="G822">
        <f t="shared" si="47"/>
        <v>0</v>
      </c>
      <c r="H822" s="12" cm="1">
        <f t="array" ref="H822">PRODUCT(1+G$2:G822)-1</f>
        <v>0.24540080077200654</v>
      </c>
      <c r="I822">
        <f>H822-MAX(H$2:H822)</f>
        <v>-8.1874266938075646E-3</v>
      </c>
      <c r="L822" s="2">
        <f t="shared" si="49"/>
        <v>0.29799757079745681</v>
      </c>
    </row>
    <row r="823" spans="1:12" x14ac:dyDescent="0.25">
      <c r="A823" s="1">
        <v>45105</v>
      </c>
      <c r="B823">
        <v>435.04998779296801</v>
      </c>
      <c r="C823">
        <v>431.19750061035103</v>
      </c>
      <c r="D823">
        <v>420.30919921874897</v>
      </c>
      <c r="E823" t="str">
        <f t="shared" si="46"/>
        <v>Sell</v>
      </c>
      <c r="F823">
        <f t="shared" si="48"/>
        <v>0</v>
      </c>
      <c r="G823">
        <f t="shared" si="47"/>
        <v>0</v>
      </c>
      <c r="H823" s="12" cm="1">
        <f t="array" ref="H823">PRODUCT(1+G$2:G823)-1</f>
        <v>0.24540080077200654</v>
      </c>
      <c r="I823">
        <f>H823-MAX(H$2:H823)</f>
        <v>-8.1874266938075646E-3</v>
      </c>
      <c r="L823" s="2">
        <f t="shared" si="49"/>
        <v>0.3061034332344485</v>
      </c>
    </row>
    <row r="824" spans="1:12" x14ac:dyDescent="0.25">
      <c r="A824" s="1">
        <v>45106</v>
      </c>
      <c r="B824">
        <v>435.95999145507801</v>
      </c>
      <c r="C824">
        <v>432.08150024413999</v>
      </c>
      <c r="D824">
        <v>420.71679931640602</v>
      </c>
      <c r="E824" t="str">
        <f t="shared" si="46"/>
        <v>Sell</v>
      </c>
      <c r="F824">
        <f t="shared" si="48"/>
        <v>0</v>
      </c>
      <c r="G824">
        <f t="shared" si="47"/>
        <v>0</v>
      </c>
      <c r="H824" s="12" cm="1">
        <f t="array" ref="H824">PRODUCT(1+G$2:G824)-1</f>
        <v>0.24540080077200654</v>
      </c>
      <c r="I824">
        <f>H824-MAX(H$2:H824)</f>
        <v>-8.1874266938075646E-3</v>
      </c>
      <c r="L824" s="2">
        <f t="shared" si="49"/>
        <v>0.30883543861472085</v>
      </c>
    </row>
    <row r="825" spans="1:12" x14ac:dyDescent="0.25">
      <c r="A825" s="1">
        <v>45107</v>
      </c>
      <c r="B825">
        <v>441.44000244140602</v>
      </c>
      <c r="C825">
        <v>433.24900054931601</v>
      </c>
      <c r="D825">
        <v>421.30119934082001</v>
      </c>
      <c r="E825" t="str">
        <f t="shared" si="46"/>
        <v>Sell</v>
      </c>
      <c r="F825">
        <f t="shared" si="48"/>
        <v>0</v>
      </c>
      <c r="G825">
        <f t="shared" si="47"/>
        <v>0</v>
      </c>
      <c r="H825" s="12" cm="1">
        <f t="array" ref="H825">PRODUCT(1+G$2:G825)-1</f>
        <v>0.24540080077200654</v>
      </c>
      <c r="I825">
        <f>H825-MAX(H$2:H825)</f>
        <v>-8.1874266938075646E-3</v>
      </c>
      <c r="L825" s="2">
        <f t="shared" si="49"/>
        <v>0.32528748174593825</v>
      </c>
    </row>
    <row r="826" spans="1:12" x14ac:dyDescent="0.25">
      <c r="A826" s="1">
        <v>45110</v>
      </c>
      <c r="B826">
        <v>442.92001342773398</v>
      </c>
      <c r="C826">
        <v>434.170001220703</v>
      </c>
      <c r="D826">
        <v>421.93539978027297</v>
      </c>
      <c r="E826" t="str">
        <f t="shared" si="46"/>
        <v>Sell</v>
      </c>
      <c r="F826">
        <f t="shared" si="48"/>
        <v>0</v>
      </c>
      <c r="G826">
        <f t="shared" si="47"/>
        <v>0</v>
      </c>
      <c r="H826" s="12" cm="1">
        <f t="array" ref="H826">PRODUCT(1+G$2:G826)-1</f>
        <v>0.24540080077200654</v>
      </c>
      <c r="I826">
        <f>H826-MAX(H$2:H826)</f>
        <v>-8.1874266938075646E-3</v>
      </c>
      <c r="L826" s="2">
        <f t="shared" si="49"/>
        <v>0.32973075834565518</v>
      </c>
    </row>
    <row r="827" spans="1:12" x14ac:dyDescent="0.25">
      <c r="A827" s="1">
        <v>45112</v>
      </c>
      <c r="B827">
        <v>441.91000366210898</v>
      </c>
      <c r="C827">
        <v>434.85150146484301</v>
      </c>
      <c r="D827">
        <v>422.529799804687</v>
      </c>
      <c r="E827" t="str">
        <f t="shared" si="46"/>
        <v>Sell</v>
      </c>
      <c r="F827">
        <f t="shared" si="48"/>
        <v>0</v>
      </c>
      <c r="G827">
        <f t="shared" si="47"/>
        <v>0</v>
      </c>
      <c r="H827" s="12" cm="1">
        <f t="array" ref="H827">PRODUCT(1+G$2:G827)-1</f>
        <v>0.24540080077200654</v>
      </c>
      <c r="I827">
        <f>H827-MAX(H$2:H827)</f>
        <v>-8.1874266938075646E-3</v>
      </c>
      <c r="L827" s="2">
        <f t="shared" si="49"/>
        <v>0.32669851547817369</v>
      </c>
    </row>
    <row r="828" spans="1:12" x14ac:dyDescent="0.25">
      <c r="A828" s="1">
        <v>45113</v>
      </c>
      <c r="B828">
        <v>439.42001342773398</v>
      </c>
      <c r="C828">
        <v>435.489001464843</v>
      </c>
      <c r="D828">
        <v>423.07840026855399</v>
      </c>
      <c r="E828" t="str">
        <f t="shared" si="46"/>
        <v>Sell</v>
      </c>
      <c r="F828">
        <f t="shared" si="48"/>
        <v>0</v>
      </c>
      <c r="G828">
        <f t="shared" si="47"/>
        <v>0</v>
      </c>
      <c r="H828" s="12" cm="1">
        <f t="array" ref="H828">PRODUCT(1+G$2:G828)-1</f>
        <v>0.24540080077200654</v>
      </c>
      <c r="I828">
        <f>H828-MAX(H$2:H828)</f>
        <v>-8.1874266938075646E-3</v>
      </c>
      <c r="L828" s="2">
        <f t="shared" si="49"/>
        <v>0.31922308763059243</v>
      </c>
    </row>
    <row r="829" spans="1:12" x14ac:dyDescent="0.25">
      <c r="A829" s="1">
        <v>45114</v>
      </c>
      <c r="B829">
        <v>438.63000488281199</v>
      </c>
      <c r="C829">
        <v>435.99850158691402</v>
      </c>
      <c r="D829">
        <v>423.63940063476502</v>
      </c>
      <c r="E829" t="str">
        <f t="shared" si="46"/>
        <v>Sell</v>
      </c>
      <c r="F829">
        <f t="shared" si="48"/>
        <v>0</v>
      </c>
      <c r="G829">
        <f t="shared" si="47"/>
        <v>0</v>
      </c>
      <c r="H829" s="12" cm="1">
        <f t="array" ref="H829">PRODUCT(1+G$2:G829)-1</f>
        <v>0.24540080077200654</v>
      </c>
      <c r="I829">
        <f>H829-MAX(H$2:H829)</f>
        <v>-8.1874266938075646E-3</v>
      </c>
      <c r="L829" s="2">
        <f t="shared" si="49"/>
        <v>0.31685133058712783</v>
      </c>
    </row>
    <row r="830" spans="1:12" x14ac:dyDescent="0.25">
      <c r="A830" s="1">
        <v>45117</v>
      </c>
      <c r="B830">
        <v>438.17999267578102</v>
      </c>
      <c r="C830">
        <v>436.57650146484298</v>
      </c>
      <c r="D830">
        <v>424.26860046386702</v>
      </c>
      <c r="E830" t="str">
        <f t="shared" si="46"/>
        <v>Sell</v>
      </c>
      <c r="F830">
        <f t="shared" si="48"/>
        <v>0</v>
      </c>
      <c r="G830">
        <f t="shared" si="47"/>
        <v>0</v>
      </c>
      <c r="H830" s="12" cm="1">
        <f t="array" ref="H830">PRODUCT(1+G$2:G830)-1</f>
        <v>0.24540080077200654</v>
      </c>
      <c r="I830">
        <f>H830-MAX(H$2:H830)</f>
        <v>-8.1874266938075646E-3</v>
      </c>
      <c r="L830" s="2">
        <f t="shared" si="49"/>
        <v>0.31550030770448784</v>
      </c>
    </row>
    <row r="831" spans="1:12" x14ac:dyDescent="0.25">
      <c r="A831" s="1">
        <v>45118</v>
      </c>
      <c r="B831">
        <v>440.45001220703102</v>
      </c>
      <c r="C831">
        <v>437.10100250244102</v>
      </c>
      <c r="D831">
        <v>424.93760070800698</v>
      </c>
      <c r="E831" t="str">
        <f t="shared" si="46"/>
        <v>Sell</v>
      </c>
      <c r="F831">
        <f t="shared" si="48"/>
        <v>0</v>
      </c>
      <c r="G831">
        <f t="shared" si="47"/>
        <v>0</v>
      </c>
      <c r="H831" s="12" cm="1">
        <f t="array" ref="H831">PRODUCT(1+G$2:G831)-1</f>
        <v>0.24540080077200654</v>
      </c>
      <c r="I831">
        <f>H831-MAX(H$2:H831)</f>
        <v>-8.1874266938075646E-3</v>
      </c>
      <c r="L831" s="2">
        <f t="shared" si="49"/>
        <v>0.32231534134766959</v>
      </c>
    </row>
    <row r="832" spans="1:12" x14ac:dyDescent="0.25">
      <c r="A832" s="1">
        <v>45119</v>
      </c>
      <c r="B832">
        <v>446.39001464843699</v>
      </c>
      <c r="C832">
        <v>437.87450256347603</v>
      </c>
      <c r="D832">
        <v>425.63560119628897</v>
      </c>
      <c r="E832" t="str">
        <f t="shared" si="46"/>
        <v>Sell</v>
      </c>
      <c r="F832">
        <f t="shared" si="48"/>
        <v>0</v>
      </c>
      <c r="G832">
        <f t="shared" si="47"/>
        <v>0</v>
      </c>
      <c r="H832" s="12" cm="1">
        <f t="array" ref="H832">PRODUCT(1+G$2:G832)-1</f>
        <v>0.24540080077200654</v>
      </c>
      <c r="I832">
        <f>H832-MAX(H$2:H832)</f>
        <v>-8.1874266938075646E-3</v>
      </c>
      <c r="L832" s="2">
        <f t="shared" si="49"/>
        <v>0.34014836697651601</v>
      </c>
    </row>
    <row r="833" spans="1:12" x14ac:dyDescent="0.25">
      <c r="A833" s="1">
        <v>45120</v>
      </c>
      <c r="B833">
        <v>447.89999389648398</v>
      </c>
      <c r="C833">
        <v>438.50350189208899</v>
      </c>
      <c r="D833">
        <v>426.28420104980398</v>
      </c>
      <c r="E833" t="str">
        <f t="shared" si="46"/>
        <v>Sell</v>
      </c>
      <c r="F833">
        <f t="shared" si="48"/>
        <v>0</v>
      </c>
      <c r="G833">
        <f t="shared" si="47"/>
        <v>0</v>
      </c>
      <c r="H833" s="12" cm="1">
        <f t="array" ref="H833">PRODUCT(1+G$2:G833)-1</f>
        <v>0.24540080077200654</v>
      </c>
      <c r="I833">
        <f>H833-MAX(H$2:H833)</f>
        <v>-8.1874266938075646E-3</v>
      </c>
      <c r="L833" s="2">
        <f t="shared" si="49"/>
        <v>0.34468161404081771</v>
      </c>
    </row>
    <row r="834" spans="1:12" x14ac:dyDescent="0.25">
      <c r="A834" s="1">
        <v>45121</v>
      </c>
      <c r="B834">
        <v>450.48001098632801</v>
      </c>
      <c r="C834">
        <v>439.177001953125</v>
      </c>
      <c r="D834">
        <v>426.99840148925699</v>
      </c>
      <c r="E834" t="str">
        <f t="shared" si="46"/>
        <v>Sell</v>
      </c>
      <c r="F834">
        <f t="shared" si="48"/>
        <v>0</v>
      </c>
      <c r="G834">
        <f t="shared" si="47"/>
        <v>0</v>
      </c>
      <c r="H834" s="12" cm="1">
        <f t="array" ref="H834">PRODUCT(1+G$2:G834)-1</f>
        <v>0.24540080077200654</v>
      </c>
      <c r="I834">
        <f>H834-MAX(H$2:H834)</f>
        <v>-8.1874266938075646E-3</v>
      </c>
      <c r="L834" s="2">
        <f t="shared" si="49"/>
        <v>0.35242731976062214</v>
      </c>
    </row>
    <row r="835" spans="1:12" x14ac:dyDescent="0.25">
      <c r="A835" s="1">
        <v>45124</v>
      </c>
      <c r="B835">
        <v>449.13000488281199</v>
      </c>
      <c r="C835">
        <v>439.81700286865203</v>
      </c>
      <c r="D835">
        <v>427.75380187988202</v>
      </c>
      <c r="E835" t="str">
        <f t="shared" ref="E835:E898" si="50">IF(OR(ISBLANK(C835),ISBLANK(D835),ISBLANK(C836),ISBLANK(D836)), "Hold", IF(AND(C835&gt;C836,C836&lt;=D836), "Buy", IF(AND(C835&lt;C836,C836&gt;=D836), "Sell", "Hold")))</f>
        <v>Sell</v>
      </c>
      <c r="F835">
        <f t="shared" si="48"/>
        <v>0</v>
      </c>
      <c r="G835">
        <f t="shared" ref="G835:G898" si="51">IF(F835=1,(B836-B835)/B835,0)</f>
        <v>0</v>
      </c>
      <c r="H835" s="12" cm="1">
        <f t="array" ref="H835">PRODUCT(1+G$2:G835)-1</f>
        <v>0.24540080077200654</v>
      </c>
      <c r="I835">
        <f>H835-MAX(H$2:H835)</f>
        <v>-8.1874266938075646E-3</v>
      </c>
      <c r="L835" s="2">
        <f t="shared" si="49"/>
        <v>0.34837434273231604</v>
      </c>
    </row>
    <row r="836" spans="1:12" x14ac:dyDescent="0.25">
      <c r="A836" s="1">
        <v>45125</v>
      </c>
      <c r="B836">
        <v>450.5</v>
      </c>
      <c r="C836">
        <v>440.19100341796798</v>
      </c>
      <c r="D836">
        <v>428.62520202636699</v>
      </c>
      <c r="E836" t="str">
        <f t="shared" si="50"/>
        <v>Sell</v>
      </c>
      <c r="F836">
        <f t="shared" ref="F836:F899" si="52">IF(E836="Buy",1, IF(E836="Sell",0,F835))</f>
        <v>0</v>
      </c>
      <c r="G836">
        <f t="shared" si="51"/>
        <v>0</v>
      </c>
      <c r="H836" s="12" cm="1">
        <f t="array" ref="H836">PRODUCT(1+G$2:G836)-1</f>
        <v>0.24540080077200654</v>
      </c>
      <c r="I836">
        <f>H836-MAX(H$2:H836)</f>
        <v>-8.1874266938075646E-3</v>
      </c>
      <c r="L836" s="2">
        <f t="shared" si="49"/>
        <v>0.35248733061021759</v>
      </c>
    </row>
    <row r="837" spans="1:12" x14ac:dyDescent="0.25">
      <c r="A837" s="1">
        <v>45126</v>
      </c>
      <c r="B837">
        <v>455.010009765625</v>
      </c>
      <c r="C837">
        <v>441.06900329589803</v>
      </c>
      <c r="D837">
        <v>429.54720214843701</v>
      </c>
      <c r="E837" t="str">
        <f t="shared" si="50"/>
        <v>Sell</v>
      </c>
      <c r="F837">
        <f t="shared" si="52"/>
        <v>0</v>
      </c>
      <c r="G837">
        <f t="shared" si="51"/>
        <v>0</v>
      </c>
      <c r="H837" s="12" cm="1">
        <f t="array" ref="H837">PRODUCT(1+G$2:G837)-1</f>
        <v>0.24540080077200654</v>
      </c>
      <c r="I837">
        <f>H837-MAX(H$2:H837)</f>
        <v>-8.1874266938075646E-3</v>
      </c>
      <c r="L837" s="2">
        <f t="shared" si="49"/>
        <v>0.36602724419276184</v>
      </c>
    </row>
    <row r="838" spans="1:12" x14ac:dyDescent="0.25">
      <c r="A838" s="1">
        <v>45127</v>
      </c>
      <c r="B838">
        <v>454.17001342773398</v>
      </c>
      <c r="C838">
        <v>441.96950378417898</v>
      </c>
      <c r="D838">
        <v>430.37120239257803</v>
      </c>
      <c r="E838" t="str">
        <f t="shared" si="50"/>
        <v>Sell</v>
      </c>
      <c r="F838">
        <f t="shared" si="52"/>
        <v>0</v>
      </c>
      <c r="G838">
        <f t="shared" si="51"/>
        <v>0</v>
      </c>
      <c r="H838" s="12" cm="1">
        <f t="array" ref="H838">PRODUCT(1+G$2:G838)-1</f>
        <v>0.24540080077200654</v>
      </c>
      <c r="I838">
        <f>H838-MAX(H$2:H838)</f>
        <v>-8.1874266938075646E-3</v>
      </c>
      <c r="L838" s="2">
        <f t="shared" si="49"/>
        <v>0.3635054142154997</v>
      </c>
    </row>
    <row r="839" spans="1:12" x14ac:dyDescent="0.25">
      <c r="A839" s="1">
        <v>45128</v>
      </c>
      <c r="B839">
        <v>453.95999145507801</v>
      </c>
      <c r="C839">
        <v>442.970002746582</v>
      </c>
      <c r="D839">
        <v>431.22780212402301</v>
      </c>
      <c r="E839" t="str">
        <f t="shared" si="50"/>
        <v>Sell</v>
      </c>
      <c r="F839">
        <f t="shared" si="52"/>
        <v>0</v>
      </c>
      <c r="G839">
        <f t="shared" si="51"/>
        <v>0</v>
      </c>
      <c r="H839" s="12" cm="1">
        <f t="array" ref="H839">PRODUCT(1+G$2:G839)-1</f>
        <v>0.24540080077200654</v>
      </c>
      <c r="I839">
        <f>H839-MAX(H$2:H839)</f>
        <v>-8.1874266938075646E-3</v>
      </c>
      <c r="L839" s="2">
        <f t="shared" ref="L839:L902" si="53">(B839-B$134)/B$134</f>
        <v>0.36287488800647205</v>
      </c>
    </row>
    <row r="840" spans="1:12" x14ac:dyDescent="0.25">
      <c r="A840" s="1">
        <v>45131</v>
      </c>
      <c r="B840">
        <v>453.36999511718699</v>
      </c>
      <c r="C840">
        <v>443.99200286865198</v>
      </c>
      <c r="D840">
        <v>432.01760192871001</v>
      </c>
      <c r="E840" t="str">
        <f t="shared" si="50"/>
        <v>Sell</v>
      </c>
      <c r="F840">
        <f t="shared" si="52"/>
        <v>0</v>
      </c>
      <c r="G840">
        <f t="shared" si="51"/>
        <v>0</v>
      </c>
      <c r="H840" s="12" cm="1">
        <f t="array" ref="H840">PRODUCT(1+G$2:G840)-1</f>
        <v>0.24540080077200654</v>
      </c>
      <c r="I840">
        <f>H840-MAX(H$2:H840)</f>
        <v>-8.1874266938075646E-3</v>
      </c>
      <c r="L840" s="2">
        <f t="shared" si="53"/>
        <v>0.36110360593742868</v>
      </c>
    </row>
    <row r="841" spans="1:12" x14ac:dyDescent="0.25">
      <c r="A841" s="1">
        <v>45132</v>
      </c>
      <c r="B841">
        <v>453.92001342773398</v>
      </c>
      <c r="C841">
        <v>445.05700378417902</v>
      </c>
      <c r="D841">
        <v>432.85700195312501</v>
      </c>
      <c r="E841" t="str">
        <f t="shared" si="50"/>
        <v>Sell</v>
      </c>
      <c r="F841">
        <f t="shared" si="52"/>
        <v>0</v>
      </c>
      <c r="G841">
        <f t="shared" si="51"/>
        <v>0</v>
      </c>
      <c r="H841" s="12" cm="1">
        <f t="array" ref="H841">PRODUCT(1+G$2:G841)-1</f>
        <v>0.24540080077200654</v>
      </c>
      <c r="I841">
        <f>H841-MAX(H$2:H841)</f>
        <v>-8.1874266938075646E-3</v>
      </c>
      <c r="L841" s="2">
        <f t="shared" si="53"/>
        <v>0.36275486630728093</v>
      </c>
    </row>
    <row r="842" spans="1:12" x14ac:dyDescent="0.25">
      <c r="A842" s="1">
        <v>45133</v>
      </c>
      <c r="B842">
        <v>454.47000122070301</v>
      </c>
      <c r="C842">
        <v>446.16300354003903</v>
      </c>
      <c r="D842">
        <v>433.67800170898403</v>
      </c>
      <c r="E842" t="str">
        <f t="shared" si="50"/>
        <v>Sell</v>
      </c>
      <c r="F842">
        <f t="shared" si="52"/>
        <v>0</v>
      </c>
      <c r="G842">
        <f t="shared" si="51"/>
        <v>0</v>
      </c>
      <c r="H842" s="12" cm="1">
        <f t="array" ref="H842">PRODUCT(1+G$2:G842)-1</f>
        <v>0.24540080077200654</v>
      </c>
      <c r="I842">
        <f>H842-MAX(H$2:H842)</f>
        <v>-8.1874266938075646E-3</v>
      </c>
      <c r="L842" s="2">
        <f t="shared" si="53"/>
        <v>0.36440603505751595</v>
      </c>
    </row>
    <row r="843" spans="1:12" x14ac:dyDescent="0.25">
      <c r="A843" s="1">
        <v>45134</v>
      </c>
      <c r="B843">
        <v>459.01998901367102</v>
      </c>
      <c r="C843">
        <v>447.36150360107399</v>
      </c>
      <c r="D843">
        <v>434.614001464843</v>
      </c>
      <c r="E843" t="str">
        <f t="shared" si="50"/>
        <v>Sell</v>
      </c>
      <c r="F843">
        <f t="shared" si="52"/>
        <v>0</v>
      </c>
      <c r="G843">
        <f t="shared" si="51"/>
        <v>0</v>
      </c>
      <c r="H843" s="12" cm="1">
        <f t="array" ref="H843">PRODUCT(1+G$2:G843)-1</f>
        <v>0.24540080077200654</v>
      </c>
      <c r="I843">
        <f>H843-MAX(H$2:H843)</f>
        <v>-8.1874266938075646E-3</v>
      </c>
      <c r="L843" s="2">
        <f t="shared" si="53"/>
        <v>0.37806597033924821</v>
      </c>
    </row>
    <row r="844" spans="1:12" x14ac:dyDescent="0.25">
      <c r="A844" s="1">
        <v>45135</v>
      </c>
      <c r="B844">
        <v>455.88000488281199</v>
      </c>
      <c r="C844">
        <v>448.35750427246001</v>
      </c>
      <c r="D844">
        <v>435.49440185546803</v>
      </c>
      <c r="E844" t="str">
        <f t="shared" si="50"/>
        <v>Sell</v>
      </c>
      <c r="F844">
        <f t="shared" si="52"/>
        <v>0</v>
      </c>
      <c r="G844">
        <f t="shared" si="51"/>
        <v>0</v>
      </c>
      <c r="H844" s="12" cm="1">
        <f t="array" ref="H844">PRODUCT(1+G$2:G844)-1</f>
        <v>0.24540080077200654</v>
      </c>
      <c r="I844">
        <f>H844-MAX(H$2:H844)</f>
        <v>-8.1874266938075646E-3</v>
      </c>
      <c r="L844" s="2">
        <f t="shared" si="53"/>
        <v>0.36863913625422273</v>
      </c>
    </row>
    <row r="845" spans="1:12" x14ac:dyDescent="0.25">
      <c r="A845" s="1">
        <v>45138</v>
      </c>
      <c r="B845">
        <v>457.41000366210898</v>
      </c>
      <c r="C845">
        <v>449.15600433349601</v>
      </c>
      <c r="D845">
        <v>436.39560180664</v>
      </c>
      <c r="E845" t="str">
        <f t="shared" si="50"/>
        <v>Sell</v>
      </c>
      <c r="F845">
        <f t="shared" si="52"/>
        <v>0</v>
      </c>
      <c r="G845">
        <f t="shared" si="51"/>
        <v>0</v>
      </c>
      <c r="H845" s="12" cm="1">
        <f t="array" ref="H845">PRODUCT(1+G$2:G845)-1</f>
        <v>0.24540080077200654</v>
      </c>
      <c r="I845">
        <f>H845-MAX(H$2:H845)</f>
        <v>-8.1874266938075646E-3</v>
      </c>
      <c r="L845" s="2">
        <f t="shared" si="53"/>
        <v>0.37323248578773721</v>
      </c>
    </row>
    <row r="846" spans="1:12" x14ac:dyDescent="0.25">
      <c r="A846" s="1">
        <v>45139</v>
      </c>
      <c r="B846">
        <v>456.26998901367102</v>
      </c>
      <c r="C846">
        <v>449.82350311279203</v>
      </c>
      <c r="D846">
        <v>437.22300170898399</v>
      </c>
      <c r="E846" t="str">
        <f t="shared" si="50"/>
        <v>Sell</v>
      </c>
      <c r="F846">
        <f t="shared" si="52"/>
        <v>0</v>
      </c>
      <c r="G846">
        <f t="shared" si="51"/>
        <v>0</v>
      </c>
      <c r="H846" s="12" cm="1">
        <f t="array" ref="H846">PRODUCT(1+G$2:G846)-1</f>
        <v>0.24540080077200654</v>
      </c>
      <c r="I846">
        <f>H846-MAX(H$2:H846)</f>
        <v>-8.1874266938075646E-3</v>
      </c>
      <c r="L846" s="2">
        <f t="shared" si="53"/>
        <v>0.36980994334884182</v>
      </c>
    </row>
    <row r="847" spans="1:12" x14ac:dyDescent="0.25">
      <c r="A847" s="1">
        <v>45140</v>
      </c>
      <c r="B847">
        <v>453.25</v>
      </c>
      <c r="C847">
        <v>450.39050292968699</v>
      </c>
      <c r="D847">
        <v>437.88460144042898</v>
      </c>
      <c r="E847" t="str">
        <f t="shared" si="50"/>
        <v>Sell</v>
      </c>
      <c r="F847">
        <f t="shared" si="52"/>
        <v>0</v>
      </c>
      <c r="G847">
        <f t="shared" si="51"/>
        <v>0</v>
      </c>
      <c r="H847" s="12" cm="1">
        <f t="array" ref="H847">PRODUCT(1+G$2:G847)-1</f>
        <v>0.24540080077200654</v>
      </c>
      <c r="I847">
        <f>H847-MAX(H$2:H847)</f>
        <v>-8.1874266938075646E-3</v>
      </c>
      <c r="L847" s="2">
        <f t="shared" si="53"/>
        <v>0.36074335760062404</v>
      </c>
    </row>
    <row r="848" spans="1:12" x14ac:dyDescent="0.25">
      <c r="A848" s="1">
        <v>45141</v>
      </c>
      <c r="B848">
        <v>448.04000854492102</v>
      </c>
      <c r="C848">
        <v>450.82150268554602</v>
      </c>
      <c r="D848">
        <v>438.47260131835901</v>
      </c>
      <c r="E848" t="str">
        <f t="shared" si="50"/>
        <v>Sell</v>
      </c>
      <c r="F848">
        <f t="shared" si="52"/>
        <v>0</v>
      </c>
      <c r="G848">
        <f t="shared" si="51"/>
        <v>0</v>
      </c>
      <c r="H848" s="12" cm="1">
        <f t="array" ref="H848">PRODUCT(1+G$2:G848)-1</f>
        <v>0.24540080077200654</v>
      </c>
      <c r="I848">
        <f>H848-MAX(H$2:H848)</f>
        <v>-8.1874266938075646E-3</v>
      </c>
      <c r="L848" s="2">
        <f t="shared" si="53"/>
        <v>0.34510196484683531</v>
      </c>
    </row>
    <row r="849" spans="1:12" x14ac:dyDescent="0.25">
      <c r="A849" s="1">
        <v>45142</v>
      </c>
      <c r="B849">
        <v>450.72000122070301</v>
      </c>
      <c r="C849">
        <v>451.42600250244101</v>
      </c>
      <c r="D849">
        <v>439.145401611328</v>
      </c>
      <c r="E849" t="str">
        <f t="shared" si="50"/>
        <v>Sell</v>
      </c>
      <c r="F849">
        <f t="shared" si="52"/>
        <v>0</v>
      </c>
      <c r="G849">
        <f t="shared" si="51"/>
        <v>0</v>
      </c>
      <c r="H849" s="12" cm="1">
        <f t="array" ref="H849">PRODUCT(1+G$2:G849)-1</f>
        <v>0.24540080077200654</v>
      </c>
      <c r="I849">
        <f>H849-MAX(H$2:H849)</f>
        <v>-8.1874266938075646E-3</v>
      </c>
      <c r="L849" s="2">
        <f t="shared" si="53"/>
        <v>0.35314781643423448</v>
      </c>
    </row>
    <row r="850" spans="1:12" x14ac:dyDescent="0.25">
      <c r="A850" s="1">
        <v>45145</v>
      </c>
      <c r="B850">
        <v>448.70999145507801</v>
      </c>
      <c r="C850">
        <v>451.95250244140601</v>
      </c>
      <c r="D850">
        <v>439.87120117187499</v>
      </c>
      <c r="E850" t="str">
        <f t="shared" si="50"/>
        <v>Sell</v>
      </c>
      <c r="F850">
        <f t="shared" si="52"/>
        <v>0</v>
      </c>
      <c r="G850">
        <f t="shared" si="51"/>
        <v>0</v>
      </c>
      <c r="H850" s="12" cm="1">
        <f t="array" ref="H850">PRODUCT(1+G$2:G850)-1</f>
        <v>0.24540080077200654</v>
      </c>
      <c r="I850">
        <f>H850-MAX(H$2:H850)</f>
        <v>-8.1874266938075646E-3</v>
      </c>
      <c r="L850" s="2">
        <f t="shared" si="53"/>
        <v>0.34711338193387792</v>
      </c>
    </row>
    <row r="851" spans="1:12" x14ac:dyDescent="0.25">
      <c r="A851" s="1">
        <v>45146</v>
      </c>
      <c r="B851">
        <v>448.079986572265</v>
      </c>
      <c r="C851">
        <v>452.33400115966703</v>
      </c>
      <c r="D851">
        <v>440.53800109863198</v>
      </c>
      <c r="E851" t="str">
        <f t="shared" si="50"/>
        <v>Sell</v>
      </c>
      <c r="F851">
        <f t="shared" si="52"/>
        <v>0</v>
      </c>
      <c r="G851">
        <f t="shared" si="51"/>
        <v>0</v>
      </c>
      <c r="H851" s="12" cm="1">
        <f t="array" ref="H851">PRODUCT(1+G$2:G851)-1</f>
        <v>0.24540080077200654</v>
      </c>
      <c r="I851">
        <f>H851-MAX(H$2:H851)</f>
        <v>-8.1874266938075646E-3</v>
      </c>
      <c r="L851" s="2">
        <f t="shared" si="53"/>
        <v>0.34522198654602626</v>
      </c>
    </row>
    <row r="852" spans="1:12" x14ac:dyDescent="0.25">
      <c r="A852" s="1">
        <v>45147</v>
      </c>
      <c r="B852">
        <v>449.02999877929602</v>
      </c>
      <c r="C852">
        <v>452.46600036620998</v>
      </c>
      <c r="D852">
        <v>441.21200134277302</v>
      </c>
      <c r="E852" t="str">
        <f t="shared" si="50"/>
        <v>Sell</v>
      </c>
      <c r="F852">
        <f t="shared" si="52"/>
        <v>0</v>
      </c>
      <c r="G852">
        <f t="shared" si="51"/>
        <v>0</v>
      </c>
      <c r="H852" s="12" cm="1">
        <f t="array" ref="H852">PRODUCT(1+G$2:G852)-1</f>
        <v>0.24540080077200654</v>
      </c>
      <c r="I852">
        <f>H852-MAX(H$2:H852)</f>
        <v>-8.1874266938075646E-3</v>
      </c>
      <c r="L852" s="2">
        <f t="shared" si="53"/>
        <v>0.34807410524510396</v>
      </c>
    </row>
    <row r="853" spans="1:12" x14ac:dyDescent="0.25">
      <c r="A853" s="1">
        <v>45148</v>
      </c>
      <c r="B853">
        <v>448.19000244140602</v>
      </c>
      <c r="C853">
        <v>452.480500793457</v>
      </c>
      <c r="D853">
        <v>441.735201416015</v>
      </c>
      <c r="E853" t="str">
        <f t="shared" si="50"/>
        <v>Hold</v>
      </c>
      <c r="F853">
        <f t="shared" si="52"/>
        <v>0</v>
      </c>
      <c r="G853">
        <f t="shared" si="51"/>
        <v>0</v>
      </c>
      <c r="H853" s="12" cm="1">
        <f t="array" ref="H853">PRODUCT(1+G$2:G853)-1</f>
        <v>0.24540080077200654</v>
      </c>
      <c r="I853">
        <f>H853-MAX(H$2:H853)</f>
        <v>-8.1874266938075646E-3</v>
      </c>
      <c r="L853" s="2">
        <f t="shared" si="53"/>
        <v>0.34555227526784493</v>
      </c>
    </row>
    <row r="854" spans="1:12" x14ac:dyDescent="0.25">
      <c r="A854" s="1">
        <v>45149</v>
      </c>
      <c r="B854">
        <v>443.97000122070301</v>
      </c>
      <c r="C854">
        <v>452.15500030517501</v>
      </c>
      <c r="D854">
        <v>442.24900146484299</v>
      </c>
      <c r="E854" t="str">
        <f t="shared" si="50"/>
        <v>Hold</v>
      </c>
      <c r="F854">
        <f t="shared" si="52"/>
        <v>0</v>
      </c>
      <c r="G854">
        <f t="shared" si="51"/>
        <v>0</v>
      </c>
      <c r="H854" s="12" cm="1">
        <f t="array" ref="H854">PRODUCT(1+G$2:G854)-1</f>
        <v>0.24540080077200654</v>
      </c>
      <c r="I854">
        <f>H854-MAX(H$2:H854)</f>
        <v>-8.1874266938075646E-3</v>
      </c>
      <c r="L854" s="2">
        <f t="shared" si="53"/>
        <v>0.3328830229123278</v>
      </c>
    </row>
    <row r="855" spans="1:12" x14ac:dyDescent="0.25">
      <c r="A855" s="1">
        <v>45152</v>
      </c>
      <c r="B855">
        <v>444.70001220703102</v>
      </c>
      <c r="C855">
        <v>451.93350067138601</v>
      </c>
      <c r="D855">
        <v>442.78120178222599</v>
      </c>
      <c r="E855" t="str">
        <f t="shared" si="50"/>
        <v>Hold</v>
      </c>
      <c r="F855">
        <f t="shared" si="52"/>
        <v>0</v>
      </c>
      <c r="G855">
        <f t="shared" si="51"/>
        <v>0</v>
      </c>
      <c r="H855" s="12" cm="1">
        <f t="array" ref="H855">PRODUCT(1+G$2:G855)-1</f>
        <v>0.24540080077200654</v>
      </c>
      <c r="I855">
        <f>H855-MAX(H$2:H855)</f>
        <v>-8.1874266938075646E-3</v>
      </c>
      <c r="L855" s="2">
        <f t="shared" si="53"/>
        <v>0.3350746557873886</v>
      </c>
    </row>
    <row r="856" spans="1:12" x14ac:dyDescent="0.25">
      <c r="A856" s="1">
        <v>45153</v>
      </c>
      <c r="B856">
        <v>446.26998901367102</v>
      </c>
      <c r="C856">
        <v>451.72200012207003</v>
      </c>
      <c r="D856">
        <v>443.21660156249999</v>
      </c>
      <c r="E856" t="str">
        <f t="shared" si="50"/>
        <v>Hold</v>
      </c>
      <c r="F856">
        <f t="shared" si="52"/>
        <v>0</v>
      </c>
      <c r="G856">
        <f t="shared" si="51"/>
        <v>0</v>
      </c>
      <c r="H856" s="12" cm="1">
        <f t="array" ref="H856">PRODUCT(1+G$2:G856)-1</f>
        <v>0.24540080077200654</v>
      </c>
      <c r="I856">
        <f>H856-MAX(H$2:H856)</f>
        <v>-8.1874266938075646E-3</v>
      </c>
      <c r="L856" s="2">
        <f t="shared" si="53"/>
        <v>0.33978802702009114</v>
      </c>
    </row>
    <row r="857" spans="1:12" x14ac:dyDescent="0.25">
      <c r="A857" s="1">
        <v>45154</v>
      </c>
      <c r="B857">
        <v>442.45999145507801</v>
      </c>
      <c r="C857">
        <v>451.09449920654203</v>
      </c>
      <c r="D857">
        <v>443.50020141601499</v>
      </c>
      <c r="E857" t="str">
        <f t="shared" si="50"/>
        <v>Hold</v>
      </c>
      <c r="F857">
        <f t="shared" si="52"/>
        <v>0</v>
      </c>
      <c r="G857">
        <f t="shared" si="51"/>
        <v>0</v>
      </c>
      <c r="H857" s="12" cm="1">
        <f t="array" ref="H857">PRODUCT(1+G$2:G857)-1</f>
        <v>0.24540080077200654</v>
      </c>
      <c r="I857">
        <f>H857-MAX(H$2:H857)</f>
        <v>-8.1874266938075646E-3</v>
      </c>
      <c r="L857" s="2">
        <f t="shared" si="53"/>
        <v>0.32834968422840877</v>
      </c>
    </row>
    <row r="858" spans="1:12" x14ac:dyDescent="0.25">
      <c r="A858" s="1">
        <v>45155</v>
      </c>
      <c r="B858">
        <v>441.16000366210898</v>
      </c>
      <c r="C858">
        <v>450.44399871826101</v>
      </c>
      <c r="D858">
        <v>443.790001220703</v>
      </c>
      <c r="E858" t="str">
        <f t="shared" si="50"/>
        <v>Hold</v>
      </c>
      <c r="F858">
        <f t="shared" si="52"/>
        <v>0</v>
      </c>
      <c r="G858">
        <f t="shared" si="51"/>
        <v>0</v>
      </c>
      <c r="H858" s="12" cm="1">
        <f t="array" ref="H858">PRODUCT(1+G$2:G858)-1</f>
        <v>0.24540080077200654</v>
      </c>
      <c r="I858">
        <f>H858-MAX(H$2:H858)</f>
        <v>-8.1874266938075646E-3</v>
      </c>
      <c r="L858" s="2">
        <f t="shared" si="53"/>
        <v>0.32444687175351739</v>
      </c>
    </row>
    <row r="859" spans="1:12" x14ac:dyDescent="0.25">
      <c r="A859" s="1">
        <v>45156</v>
      </c>
      <c r="B859">
        <v>433.36999511718699</v>
      </c>
      <c r="C859">
        <v>449.41449890136698</v>
      </c>
      <c r="D859">
        <v>443.888601074218</v>
      </c>
      <c r="E859" t="str">
        <f t="shared" si="50"/>
        <v>Hold</v>
      </c>
      <c r="F859">
        <f t="shared" si="52"/>
        <v>0</v>
      </c>
      <c r="G859">
        <f t="shared" si="51"/>
        <v>0</v>
      </c>
      <c r="H859" s="12" cm="1">
        <f t="array" ref="H859">PRODUCT(1+G$2:G859)-1</f>
        <v>0.24540080077200654</v>
      </c>
      <c r="I859">
        <f>H859-MAX(H$2:H859)</f>
        <v>-8.1874266938075646E-3</v>
      </c>
      <c r="L859" s="2">
        <f t="shared" si="53"/>
        <v>0.30105977327992733</v>
      </c>
    </row>
    <row r="860" spans="1:12" x14ac:dyDescent="0.25">
      <c r="A860" s="1">
        <v>45159</v>
      </c>
      <c r="B860">
        <v>437.54998779296801</v>
      </c>
      <c r="C860">
        <v>448.62349853515599</v>
      </c>
      <c r="D860">
        <v>444.10720092773403</v>
      </c>
      <c r="E860" t="str">
        <f t="shared" si="50"/>
        <v>Hold</v>
      </c>
      <c r="F860">
        <f t="shared" si="52"/>
        <v>0</v>
      </c>
      <c r="G860">
        <f t="shared" si="51"/>
        <v>0</v>
      </c>
      <c r="H860" s="12" cm="1">
        <f t="array" ref="H860">PRODUCT(1+G$2:G860)-1</f>
        <v>0.24540080077200654</v>
      </c>
      <c r="I860">
        <f>H860-MAX(H$2:H860)</f>
        <v>-8.1874266938075646E-3</v>
      </c>
      <c r="L860" s="2">
        <f t="shared" si="53"/>
        <v>0.31360891231663618</v>
      </c>
    </row>
    <row r="861" spans="1:12" x14ac:dyDescent="0.25">
      <c r="A861" s="1">
        <v>45160</v>
      </c>
      <c r="B861">
        <v>441.17999267578102</v>
      </c>
      <c r="C861">
        <v>447.98649749755799</v>
      </c>
      <c r="D861">
        <v>444.33160095214799</v>
      </c>
      <c r="E861" t="str">
        <f t="shared" si="50"/>
        <v>Hold</v>
      </c>
      <c r="F861">
        <f t="shared" si="52"/>
        <v>0</v>
      </c>
      <c r="G861">
        <f t="shared" si="51"/>
        <v>0</v>
      </c>
      <c r="H861" s="12" cm="1">
        <f t="array" ref="H861">PRODUCT(1+G$2:G861)-1</f>
        <v>0.24540080077200654</v>
      </c>
      <c r="I861">
        <f>H861-MAX(H$2:H861)</f>
        <v>-8.1874266938075646E-3</v>
      </c>
      <c r="L861" s="2">
        <f t="shared" si="53"/>
        <v>0.32450688260311306</v>
      </c>
    </row>
    <row r="862" spans="1:12" x14ac:dyDescent="0.25">
      <c r="A862" s="1">
        <v>45161</v>
      </c>
      <c r="B862">
        <v>439.25</v>
      </c>
      <c r="C862">
        <v>447.22549743652303</v>
      </c>
      <c r="D862">
        <v>444.49820068359298</v>
      </c>
      <c r="E862" t="str">
        <f t="shared" si="50"/>
        <v>Hold</v>
      </c>
      <c r="F862">
        <f t="shared" si="52"/>
        <v>0</v>
      </c>
      <c r="G862">
        <f t="shared" si="51"/>
        <v>0</v>
      </c>
      <c r="H862" s="12" cm="1">
        <f t="array" ref="H862">PRODUCT(1+G$2:G862)-1</f>
        <v>0.24540080077200654</v>
      </c>
      <c r="I862">
        <f>H862-MAX(H$2:H862)</f>
        <v>-8.1874266938075646E-3</v>
      </c>
      <c r="L862" s="2">
        <f t="shared" si="53"/>
        <v>0.31871267474037307</v>
      </c>
    </row>
    <row r="863" spans="1:12" x14ac:dyDescent="0.25">
      <c r="A863" s="1">
        <v>45162</v>
      </c>
      <c r="B863">
        <v>444.69000244140602</v>
      </c>
      <c r="C863">
        <v>446.50899810790997</v>
      </c>
      <c r="D863">
        <v>444.68560058593698</v>
      </c>
      <c r="E863" t="str">
        <f t="shared" si="50"/>
        <v>Hold</v>
      </c>
      <c r="F863">
        <f t="shared" si="52"/>
        <v>0</v>
      </c>
      <c r="G863">
        <f t="shared" si="51"/>
        <v>0</v>
      </c>
      <c r="H863" s="12" cm="1">
        <f t="array" ref="H863">PRODUCT(1+G$2:G863)-1</f>
        <v>0.24540080077200654</v>
      </c>
      <c r="I863">
        <f>H863-MAX(H$2:H863)</f>
        <v>-8.1874266938075646E-3</v>
      </c>
      <c r="L863" s="2">
        <f t="shared" si="53"/>
        <v>0.33504460455278218</v>
      </c>
    </row>
    <row r="864" spans="1:12" x14ac:dyDescent="0.25">
      <c r="A864" s="1">
        <v>45163</v>
      </c>
      <c r="B864">
        <v>438.67999267578102</v>
      </c>
      <c r="C864">
        <v>445.64899749755801</v>
      </c>
      <c r="D864">
        <v>444.71900024413998</v>
      </c>
      <c r="E864" t="str">
        <f t="shared" si="50"/>
        <v>Hold</v>
      </c>
      <c r="F864">
        <f t="shared" si="52"/>
        <v>0</v>
      </c>
      <c r="G864">
        <f t="shared" si="51"/>
        <v>0</v>
      </c>
      <c r="H864" s="12" cm="1">
        <f t="array" ref="H864">PRODUCT(1+G$2:G864)-1</f>
        <v>0.24540080077200654</v>
      </c>
      <c r="I864">
        <f>H864-MAX(H$2:H864)</f>
        <v>-8.1874266938075646E-3</v>
      </c>
      <c r="L864" s="2">
        <f t="shared" si="53"/>
        <v>0.31700140352092537</v>
      </c>
    </row>
    <row r="865" spans="1:12" x14ac:dyDescent="0.25">
      <c r="A865" s="1">
        <v>45166</v>
      </c>
      <c r="B865">
        <v>442.239990234375</v>
      </c>
      <c r="C865">
        <v>444.89049682617099</v>
      </c>
      <c r="D865">
        <v>444.83720031738198</v>
      </c>
      <c r="E865" t="str">
        <f t="shared" si="50"/>
        <v>Buy</v>
      </c>
      <c r="F865">
        <f t="shared" si="52"/>
        <v>1</v>
      </c>
      <c r="G865">
        <f t="shared" si="51"/>
        <v>9.2710670939479369E-4</v>
      </c>
      <c r="H865" s="12" cm="1">
        <f t="array" ref="H865">PRODUCT(1+G$2:G865)-1</f>
        <v>0.24655542021028798</v>
      </c>
      <c r="I865">
        <f>H865-MAX(H$2:H865)</f>
        <v>-7.0328072555261301E-3</v>
      </c>
      <c r="L865" s="2">
        <f t="shared" si="53"/>
        <v>0.32768919840439187</v>
      </c>
    </row>
    <row r="866" spans="1:12" x14ac:dyDescent="0.25">
      <c r="A866" s="1">
        <v>45167</v>
      </c>
      <c r="B866">
        <v>442.64999389648398</v>
      </c>
      <c r="C866">
        <v>444.20949707031201</v>
      </c>
      <c r="D866">
        <v>444.82980041503902</v>
      </c>
      <c r="E866" t="str">
        <f t="shared" si="50"/>
        <v>Buy</v>
      </c>
      <c r="F866">
        <f t="shared" si="52"/>
        <v>1</v>
      </c>
      <c r="G866">
        <f t="shared" si="51"/>
        <v>1.5497607508710988E-2</v>
      </c>
      <c r="H866" s="12" cm="1">
        <f t="array" ref="H866">PRODUCT(1+G$2:G866)-1</f>
        <v>0.26587404685056337</v>
      </c>
      <c r="I866">
        <f>H866-MAX(H$2:H866)</f>
        <v>0</v>
      </c>
      <c r="L866" s="2">
        <f t="shared" si="53"/>
        <v>0.32892010796822357</v>
      </c>
    </row>
    <row r="867" spans="1:12" x14ac:dyDescent="0.25">
      <c r="A867" s="1">
        <v>45168</v>
      </c>
      <c r="B867">
        <v>449.510009765625</v>
      </c>
      <c r="C867">
        <v>444.02249755859299</v>
      </c>
      <c r="D867">
        <v>445.07100036621</v>
      </c>
      <c r="E867" t="str">
        <f t="shared" si="50"/>
        <v>Hold</v>
      </c>
      <c r="F867">
        <f t="shared" si="52"/>
        <v>1</v>
      </c>
      <c r="G867">
        <f t="shared" si="51"/>
        <v>4.7607040652437689E-3</v>
      </c>
      <c r="H867" s="12" cm="1">
        <f t="array" ref="H867">PRODUCT(1+G$2:G867)-1</f>
        <v>0.27190049857149146</v>
      </c>
      <c r="I867">
        <f>H867-MAX(H$2:H867)</f>
        <v>0</v>
      </c>
      <c r="L867" s="2">
        <f t="shared" si="53"/>
        <v>0.34951519021194893</v>
      </c>
    </row>
    <row r="868" spans="1:12" x14ac:dyDescent="0.25">
      <c r="A868" s="1">
        <v>45169</v>
      </c>
      <c r="B868">
        <v>451.64999389648398</v>
      </c>
      <c r="C868">
        <v>444.20299682617099</v>
      </c>
      <c r="D868">
        <v>445.380800170898</v>
      </c>
      <c r="E868" t="str">
        <f t="shared" si="50"/>
        <v>Hold</v>
      </c>
      <c r="F868">
        <f t="shared" si="52"/>
        <v>1</v>
      </c>
      <c r="G868">
        <f t="shared" si="51"/>
        <v>3.3654811287308047E-3</v>
      </c>
      <c r="H868" s="12" cm="1">
        <f t="array" ref="H868">PRODUCT(1+G$2:G868)-1</f>
        <v>0.27618105569705698</v>
      </c>
      <c r="I868">
        <f>H868-MAX(H$2:H868)</f>
        <v>0</v>
      </c>
      <c r="L868" s="2">
        <f t="shared" si="53"/>
        <v>0.35593983266409918</v>
      </c>
    </row>
    <row r="869" spans="1:12" x14ac:dyDescent="0.25">
      <c r="A869" s="1">
        <v>45170</v>
      </c>
      <c r="B869">
        <v>453.17001342773398</v>
      </c>
      <c r="C869">
        <v>444.32549743652299</v>
      </c>
      <c r="D869">
        <v>445.76520019531199</v>
      </c>
      <c r="E869" t="str">
        <f t="shared" si="50"/>
        <v>Hold</v>
      </c>
      <c r="F869">
        <f t="shared" si="52"/>
        <v>1</v>
      </c>
      <c r="G869">
        <f t="shared" si="51"/>
        <v>-5.3842980980802861E-3</v>
      </c>
      <c r="H869" s="12" cm="1">
        <f t="array" ref="H869">PRODUCT(1+G$2:G869)-1</f>
        <v>0.26930971646606117</v>
      </c>
      <c r="I869">
        <f>H869-MAX(H$2:H869)</f>
        <v>-6.8713392309958099E-3</v>
      </c>
      <c r="L869" s="2">
        <f t="shared" si="53"/>
        <v>0.36050322258262463</v>
      </c>
    </row>
    <row r="870" spans="1:12" x14ac:dyDescent="0.25">
      <c r="A870" s="1">
        <v>45174</v>
      </c>
      <c r="B870">
        <v>450.73001098632801</v>
      </c>
      <c r="C870">
        <v>444.42649841308503</v>
      </c>
      <c r="D870">
        <v>446.12120056152298</v>
      </c>
      <c r="E870" t="str">
        <f t="shared" si="50"/>
        <v>Hold</v>
      </c>
      <c r="F870">
        <f t="shared" si="52"/>
        <v>1</v>
      </c>
      <c r="G870">
        <f t="shared" si="51"/>
        <v>-5.1694296653228859E-3</v>
      </c>
      <c r="H870" s="12" cm="1">
        <f t="array" ref="H870">PRODUCT(1+G$2:G870)-1</f>
        <v>0.26274810916327906</v>
      </c>
      <c r="I870">
        <f>H870-MAX(H$2:H870)</f>
        <v>-1.3432946533777912E-2</v>
      </c>
      <c r="L870" s="2">
        <f t="shared" si="53"/>
        <v>0.35317786766884091</v>
      </c>
    </row>
    <row r="871" spans="1:12" x14ac:dyDescent="0.25">
      <c r="A871" s="1">
        <v>45175</v>
      </c>
      <c r="B871">
        <v>448.39999389648398</v>
      </c>
      <c r="C871">
        <v>444.44249877929599</v>
      </c>
      <c r="D871">
        <v>446.43680053710898</v>
      </c>
      <c r="E871" t="str">
        <f t="shared" si="50"/>
        <v>Buy</v>
      </c>
      <c r="F871">
        <f t="shared" si="52"/>
        <v>1</v>
      </c>
      <c r="G871">
        <f t="shared" si="51"/>
        <v>-1.179752144720863E-2</v>
      </c>
      <c r="H871" s="12" cm="1">
        <f t="array" ref="H871">PRODUCT(1+G$2:G871)-1</f>
        <v>0.24785081126300312</v>
      </c>
      <c r="I871">
        <f>H871-MAX(H$2:H871)</f>
        <v>-2.8330244434053853E-2</v>
      </c>
      <c r="L871" s="2">
        <f t="shared" si="53"/>
        <v>0.34618270985725524</v>
      </c>
    </row>
    <row r="872" spans="1:12" x14ac:dyDescent="0.25">
      <c r="A872" s="1">
        <v>45176</v>
      </c>
      <c r="B872">
        <v>443.10998535156199</v>
      </c>
      <c r="C872">
        <v>444.14649810791002</v>
      </c>
      <c r="D872">
        <v>446.65200012206998</v>
      </c>
      <c r="E872" t="str">
        <f t="shared" si="50"/>
        <v>Buy</v>
      </c>
      <c r="F872">
        <f t="shared" si="52"/>
        <v>1</v>
      </c>
      <c r="G872">
        <f t="shared" si="51"/>
        <v>4.0396484035488435E-3</v>
      </c>
      <c r="H872" s="12" cm="1">
        <f t="array" ref="H872">PRODUCT(1+G$2:G872)-1</f>
        <v>0.25289168980058863</v>
      </c>
      <c r="I872">
        <f>H872-MAX(H$2:H872)</f>
        <v>-2.328936589646835E-2</v>
      </c>
      <c r="L872" s="2">
        <f t="shared" si="53"/>
        <v>0.33030109046585282</v>
      </c>
    </row>
    <row r="873" spans="1:12" x14ac:dyDescent="0.25">
      <c r="A873" s="1">
        <v>45177</v>
      </c>
      <c r="B873">
        <v>444.89999389648398</v>
      </c>
      <c r="C873">
        <v>443.98199768066399</v>
      </c>
      <c r="D873">
        <v>446.84900024413997</v>
      </c>
      <c r="E873" t="str">
        <f t="shared" si="50"/>
        <v>Hold</v>
      </c>
      <c r="F873">
        <f t="shared" si="52"/>
        <v>1</v>
      </c>
      <c r="G873">
        <f t="shared" si="51"/>
        <v>7.5072968840456953E-3</v>
      </c>
      <c r="H873" s="12" cm="1">
        <f t="array" ref="H873">PRODUCT(1+G$2:G873)-1</f>
        <v>0.26229751967947545</v>
      </c>
      <c r="I873">
        <f>H873-MAX(H$2:H873)</f>
        <v>-1.3883536017581521E-2</v>
      </c>
      <c r="L873" s="2">
        <f t="shared" si="53"/>
        <v>0.33567503914219249</v>
      </c>
    </row>
    <row r="874" spans="1:12" x14ac:dyDescent="0.25">
      <c r="A874" s="1">
        <v>45180</v>
      </c>
      <c r="B874">
        <v>448.239990234375</v>
      </c>
      <c r="C874">
        <v>444.195497131347</v>
      </c>
      <c r="D874">
        <v>447.09460021972598</v>
      </c>
      <c r="E874" t="str">
        <f t="shared" si="50"/>
        <v>Hold</v>
      </c>
      <c r="F874">
        <f t="shared" si="52"/>
        <v>1</v>
      </c>
      <c r="G874">
        <f t="shared" si="51"/>
        <v>-2.8778735843481428E-3</v>
      </c>
      <c r="H874" s="12" cm="1">
        <f t="array" ref="H874">PRODUCT(1+G$2:G874)-1</f>
        <v>0.25866478699200179</v>
      </c>
      <c r="I874">
        <f>H874-MAX(H$2:H874)</f>
        <v>-1.7516268705055182E-2</v>
      </c>
      <c r="L874" s="2">
        <f t="shared" si="53"/>
        <v>0.34570234820164231</v>
      </c>
    </row>
    <row r="875" spans="1:12" x14ac:dyDescent="0.25">
      <c r="A875" s="1">
        <v>45181</v>
      </c>
      <c r="B875">
        <v>446.95001220703102</v>
      </c>
      <c r="C875">
        <v>444.30799713134701</v>
      </c>
      <c r="D875">
        <v>447.20480041503902</v>
      </c>
      <c r="E875" t="str">
        <f t="shared" si="50"/>
        <v>Buy</v>
      </c>
      <c r="F875">
        <f t="shared" si="52"/>
        <v>1</v>
      </c>
      <c r="G875">
        <f t="shared" si="51"/>
        <v>-1.6333168506322002E-3</v>
      </c>
      <c r="H875" s="12" cm="1">
        <f t="array" ref="H875">PRODUCT(1+G$2:G875)-1</f>
        <v>0.25660898858611048</v>
      </c>
      <c r="I875">
        <f>H875-MAX(H$2:H875)</f>
        <v>-1.9572067110946501E-2</v>
      </c>
      <c r="L875" s="2">
        <f t="shared" si="53"/>
        <v>0.34182958696135751</v>
      </c>
    </row>
    <row r="876" spans="1:12" x14ac:dyDescent="0.25">
      <c r="A876" s="1">
        <v>45182</v>
      </c>
      <c r="B876">
        <v>446.22000122070301</v>
      </c>
      <c r="C876">
        <v>444.30549774169901</v>
      </c>
      <c r="D876">
        <v>447.27080017089799</v>
      </c>
      <c r="E876" t="str">
        <f t="shared" si="50"/>
        <v>Hold</v>
      </c>
      <c r="F876">
        <f t="shared" si="52"/>
        <v>1</v>
      </c>
      <c r="G876">
        <f t="shared" si="51"/>
        <v>6.3869976597157735E-3</v>
      </c>
      <c r="H876" s="12" cm="1">
        <f t="array" ref="H876">PRODUCT(1+G$2:G876)-1</f>
        <v>0.26463494725538772</v>
      </c>
      <c r="I876">
        <f>H876-MAX(H$2:H876)</f>
        <v>-1.1546108441669256E-2</v>
      </c>
      <c r="L876" s="2">
        <f t="shared" si="53"/>
        <v>0.33963795408629666</v>
      </c>
    </row>
    <row r="877" spans="1:12" x14ac:dyDescent="0.25">
      <c r="A877" s="1">
        <v>45183</v>
      </c>
      <c r="B877">
        <v>449.07000732421801</v>
      </c>
      <c r="C877">
        <v>444.63599853515598</v>
      </c>
      <c r="D877">
        <v>447.41400024414003</v>
      </c>
      <c r="E877" t="str">
        <f t="shared" si="50"/>
        <v>Hold</v>
      </c>
      <c r="F877">
        <f t="shared" si="52"/>
        <v>1</v>
      </c>
      <c r="G877">
        <f t="shared" si="51"/>
        <v>-4.2977545690055701E-3</v>
      </c>
      <c r="H877" s="12" cm="1">
        <f t="array" ref="H877">PRODUCT(1+G$2:G877)-1</f>
        <v>0.25919985663269673</v>
      </c>
      <c r="I877">
        <f>H877-MAX(H$2:H877)</f>
        <v>-1.6981199064360242E-2</v>
      </c>
      <c r="L877" s="2">
        <f t="shared" si="53"/>
        <v>0.34819421856391231</v>
      </c>
    </row>
    <row r="878" spans="1:12" x14ac:dyDescent="0.25">
      <c r="A878" s="1">
        <v>45184</v>
      </c>
      <c r="B878">
        <v>447.14001464843699</v>
      </c>
      <c r="C878">
        <v>444.934999084472</v>
      </c>
      <c r="D878">
        <v>447.568400268554</v>
      </c>
      <c r="E878" t="str">
        <f t="shared" si="50"/>
        <v>Hold</v>
      </c>
      <c r="F878">
        <f t="shared" si="52"/>
        <v>1</v>
      </c>
      <c r="G878">
        <f t="shared" si="51"/>
        <v>-9.1470830645402051E-3</v>
      </c>
      <c r="H878" s="12" cm="1">
        <f t="array" ref="H878">PRODUCT(1+G$2:G878)-1</f>
        <v>0.24768185094922046</v>
      </c>
      <c r="I878">
        <f>H878-MAX(H$2:H878)</f>
        <v>-2.8499204747836515E-2</v>
      </c>
      <c r="L878" s="2">
        <f t="shared" si="53"/>
        <v>0.34240001070117232</v>
      </c>
    </row>
    <row r="879" spans="1:12" x14ac:dyDescent="0.25">
      <c r="A879" s="1">
        <v>45187</v>
      </c>
      <c r="B879">
        <v>443.04998779296801</v>
      </c>
      <c r="C879">
        <v>445.41899871826098</v>
      </c>
      <c r="D879">
        <v>447.656799926757</v>
      </c>
      <c r="E879" t="str">
        <f t="shared" si="50"/>
        <v>Hold</v>
      </c>
      <c r="F879">
        <f t="shared" si="52"/>
        <v>1</v>
      </c>
      <c r="G879">
        <f t="shared" si="51"/>
        <v>-8.3510919169663253E-4</v>
      </c>
      <c r="H879" s="12" cm="1">
        <f t="array" ref="H879">PRODUCT(1+G$2:G879)-1</f>
        <v>0.24663990036717975</v>
      </c>
      <c r="I879">
        <f>H879-MAX(H$2:H879)</f>
        <v>-2.9541155329877222E-2</v>
      </c>
      <c r="L879" s="2">
        <f t="shared" si="53"/>
        <v>0.33012096629744903</v>
      </c>
    </row>
    <row r="880" spans="1:12" x14ac:dyDescent="0.25">
      <c r="A880" s="1">
        <v>45188</v>
      </c>
      <c r="B880">
        <v>442.67999267578102</v>
      </c>
      <c r="C880">
        <v>445.675498962402</v>
      </c>
      <c r="D880">
        <v>447.74679992675698</v>
      </c>
      <c r="E880" t="str">
        <f t="shared" si="50"/>
        <v>Hold</v>
      </c>
      <c r="F880">
        <f t="shared" si="52"/>
        <v>1</v>
      </c>
      <c r="G880">
        <f t="shared" si="51"/>
        <v>3.0044662326044681E-3</v>
      </c>
      <c r="H880" s="12" cm="1">
        <f t="array" ref="H880">PRODUCT(1+G$2:G880)-1</f>
        <v>0.25038538785205033</v>
      </c>
      <c r="I880">
        <f>H880-MAX(H$2:H880)</f>
        <v>-2.5795667845006642E-2</v>
      </c>
      <c r="L880" s="2">
        <f t="shared" si="53"/>
        <v>0.32901017005242567</v>
      </c>
    </row>
    <row r="881" spans="1:12" x14ac:dyDescent="0.25">
      <c r="A881" s="1">
        <v>45189</v>
      </c>
      <c r="B881">
        <v>444.010009765625</v>
      </c>
      <c r="C881">
        <v>445.816999816894</v>
      </c>
      <c r="D881">
        <v>447.81799987792903</v>
      </c>
      <c r="E881" t="str">
        <f t="shared" si="50"/>
        <v>Buy</v>
      </c>
      <c r="F881">
        <f t="shared" si="52"/>
        <v>1</v>
      </c>
      <c r="G881">
        <f t="shared" si="51"/>
        <v>-1.8715788779132457E-2</v>
      </c>
      <c r="H881" s="12" cm="1">
        <f t="array" ref="H881">PRODUCT(1+G$2:G881)-1</f>
        <v>0.22698343904049767</v>
      </c>
      <c r="I881">
        <f>H881-MAX(H$2:H881)</f>
        <v>-4.9197616656559306E-2</v>
      </c>
      <c r="L881" s="2">
        <f t="shared" si="53"/>
        <v>0.33300313623113609</v>
      </c>
    </row>
    <row r="882" spans="1:12" x14ac:dyDescent="0.25">
      <c r="A882" s="1">
        <v>45190</v>
      </c>
      <c r="B882">
        <v>435.70001220703102</v>
      </c>
      <c r="C882">
        <v>445.63950042724599</v>
      </c>
      <c r="D882">
        <v>447.60419982910099</v>
      </c>
      <c r="E882" t="str">
        <f t="shared" si="50"/>
        <v>Buy</v>
      </c>
      <c r="F882">
        <f t="shared" si="52"/>
        <v>1</v>
      </c>
      <c r="G882">
        <f t="shared" si="51"/>
        <v>-7.4592607503891958E-3</v>
      </c>
      <c r="H882" s="12" cm="1">
        <f t="array" ref="H882">PRODUCT(1+G$2:G882)-1</f>
        <v>0.21783104963228528</v>
      </c>
      <c r="I882">
        <f>H882-MAX(H$2:H882)</f>
        <v>-5.8350006064771698E-2</v>
      </c>
      <c r="L882" s="2">
        <f t="shared" si="53"/>
        <v>0.308054931091513</v>
      </c>
    </row>
    <row r="883" spans="1:12" x14ac:dyDescent="0.25">
      <c r="A883" s="1">
        <v>45191</v>
      </c>
      <c r="B883">
        <v>432.45001220703102</v>
      </c>
      <c r="C883">
        <v>445.02750091552701</v>
      </c>
      <c r="D883">
        <v>447.29520019531202</v>
      </c>
      <c r="E883" t="str">
        <f t="shared" si="50"/>
        <v>Buy</v>
      </c>
      <c r="F883">
        <f t="shared" si="52"/>
        <v>1</v>
      </c>
      <c r="G883">
        <f t="shared" si="51"/>
        <v>-7.5846888350341391E-3</v>
      </c>
      <c r="H883" s="12" cm="1">
        <f t="array" ref="H883">PRODUCT(1+G$2:G883)-1</f>
        <v>0.20859418006718133</v>
      </c>
      <c r="I883">
        <f>H883-MAX(H$2:H883)</f>
        <v>-6.7586875629875642E-2</v>
      </c>
      <c r="L883" s="2">
        <f t="shared" si="53"/>
        <v>0.29829780828466906</v>
      </c>
    </row>
    <row r="884" spans="1:12" x14ac:dyDescent="0.25">
      <c r="A884" s="1">
        <v>45194</v>
      </c>
      <c r="B884">
        <v>429.17001342773398</v>
      </c>
      <c r="C884">
        <v>444.552001953125</v>
      </c>
      <c r="D884">
        <v>446.86900024414001</v>
      </c>
      <c r="E884" t="str">
        <f t="shared" si="50"/>
        <v>Buy</v>
      </c>
      <c r="F884">
        <f t="shared" si="52"/>
        <v>1</v>
      </c>
      <c r="G884">
        <f t="shared" si="51"/>
        <v>-1.8644613402714143E-4</v>
      </c>
      <c r="H884" s="12" cm="1">
        <f t="array" ref="H884">PRODUCT(1+G$2:G884)-1</f>
        <v>0.2083688423547001</v>
      </c>
      <c r="I884">
        <f>H884-MAX(H$2:H884)</f>
        <v>-6.7812213342356875E-2</v>
      </c>
      <c r="L884" s="2">
        <f t="shared" si="53"/>
        <v>0.28845062339362304</v>
      </c>
    </row>
    <row r="885" spans="1:12" x14ac:dyDescent="0.25">
      <c r="A885" s="1">
        <v>45195</v>
      </c>
      <c r="B885">
        <v>429.08999633789</v>
      </c>
      <c r="C885">
        <v>443.89450225830001</v>
      </c>
      <c r="D885">
        <v>446.46820007324197</v>
      </c>
      <c r="E885" t="str">
        <f t="shared" si="50"/>
        <v>Buy</v>
      </c>
      <c r="F885">
        <f t="shared" si="52"/>
        <v>1</v>
      </c>
      <c r="G885">
        <f t="shared" si="51"/>
        <v>-4.661026863989357E-3</v>
      </c>
      <c r="H885" s="12" cm="1">
        <f t="array" ref="H885">PRODUCT(1+G$2:G885)-1</f>
        <v>0.20273660271887706</v>
      </c>
      <c r="I885">
        <f>H885-MAX(H$2:H885)</f>
        <v>-7.3444452978179919E-2</v>
      </c>
      <c r="L885" s="2">
        <f t="shared" si="53"/>
        <v>0.2882103967560064</v>
      </c>
    </row>
    <row r="886" spans="1:12" x14ac:dyDescent="0.25">
      <c r="A886" s="1">
        <v>45196</v>
      </c>
      <c r="B886">
        <v>427.08999633789</v>
      </c>
      <c r="C886">
        <v>443.116502380371</v>
      </c>
      <c r="D886">
        <v>446</v>
      </c>
      <c r="E886" t="str">
        <f t="shared" si="50"/>
        <v>Buy</v>
      </c>
      <c r="F886">
        <f t="shared" si="52"/>
        <v>1</v>
      </c>
      <c r="G886">
        <f t="shared" si="51"/>
        <v>-3.7696629875832001E-3</v>
      </c>
      <c r="H886" s="12" cm="1">
        <f t="array" ref="H886">PRODUCT(1+G$2:G886)-1</f>
        <v>0.19820269106379618</v>
      </c>
      <c r="I886">
        <f>H886-MAX(H$2:H886)</f>
        <v>-7.7978364633260799E-2</v>
      </c>
      <c r="L886" s="2">
        <f t="shared" si="53"/>
        <v>0.28220601349025626</v>
      </c>
    </row>
    <row r="887" spans="1:12" x14ac:dyDescent="0.25">
      <c r="A887" s="1">
        <v>45197</v>
      </c>
      <c r="B887">
        <v>425.48001098632801</v>
      </c>
      <c r="C887">
        <v>441.91500244140599</v>
      </c>
      <c r="D887">
        <v>445.40940002441403</v>
      </c>
      <c r="E887" t="str">
        <f t="shared" si="50"/>
        <v>Buy</v>
      </c>
      <c r="F887">
        <f t="shared" si="52"/>
        <v>1</v>
      </c>
      <c r="G887">
        <f t="shared" si="51"/>
        <v>1.454828025188913E-2</v>
      </c>
      <c r="H887" s="12" cm="1">
        <f t="array" ref="H887">PRODUCT(1+G$2:G887)-1</f>
        <v>0.21563447961195981</v>
      </c>
      <c r="I887">
        <f>H887-MAX(H$2:H887)</f>
        <v>-6.054657608509717E-2</v>
      </c>
      <c r="L887" s="2">
        <f t="shared" si="53"/>
        <v>0.27737252893874548</v>
      </c>
    </row>
    <row r="888" spans="1:12" x14ac:dyDescent="0.25">
      <c r="A888" s="1">
        <v>45198</v>
      </c>
      <c r="B888">
        <v>431.67001342773398</v>
      </c>
      <c r="C888">
        <v>440.916003417968</v>
      </c>
      <c r="D888">
        <v>444.95940002441398</v>
      </c>
      <c r="E888" t="str">
        <f t="shared" si="50"/>
        <v>Buy</v>
      </c>
      <c r="F888">
        <f t="shared" si="52"/>
        <v>1</v>
      </c>
      <c r="G888">
        <f t="shared" si="51"/>
        <v>-1.1698793415013096E-2</v>
      </c>
      <c r="H888" s="12" cm="1">
        <f t="array" ref="H888">PRODUCT(1+G$2:G888)-1</f>
        <v>0.20141302296681252</v>
      </c>
      <c r="I888">
        <f>H888-MAX(H$2:H888)</f>
        <v>-7.476803273024446E-2</v>
      </c>
      <c r="L888" s="2">
        <f t="shared" si="53"/>
        <v>0.29595610247581067</v>
      </c>
    </row>
    <row r="889" spans="1:12" x14ac:dyDescent="0.25">
      <c r="A889" s="1">
        <v>45201</v>
      </c>
      <c r="B889">
        <v>426.61999511718699</v>
      </c>
      <c r="C889">
        <v>439.58850250244097</v>
      </c>
      <c r="D889">
        <v>444.41260009765602</v>
      </c>
      <c r="E889" t="str">
        <f t="shared" si="50"/>
        <v>Buy</v>
      </c>
      <c r="F889">
        <f t="shared" si="52"/>
        <v>1</v>
      </c>
      <c r="G889">
        <f t="shared" si="51"/>
        <v>-3.6566442652681253E-3</v>
      </c>
      <c r="H889" s="12" cm="1">
        <f t="array" ref="H889">PRODUCT(1+G$2:G889)-1</f>
        <v>0.19701988292616246</v>
      </c>
      <c r="I889">
        <f>H889-MAX(H$2:H889)</f>
        <v>-7.9161172770894517E-2</v>
      </c>
      <c r="L889" s="2">
        <f t="shared" si="53"/>
        <v>0.28079497975802065</v>
      </c>
    </row>
    <row r="890" spans="1:12" x14ac:dyDescent="0.25">
      <c r="A890" s="1">
        <v>45202</v>
      </c>
      <c r="B890">
        <v>425.05999755859301</v>
      </c>
      <c r="C890">
        <v>438.30500183105403</v>
      </c>
      <c r="D890">
        <v>443.84640014648397</v>
      </c>
      <c r="E890" t="str">
        <f t="shared" si="50"/>
        <v>Buy</v>
      </c>
      <c r="F890">
        <f t="shared" si="52"/>
        <v>1</v>
      </c>
      <c r="G890">
        <f t="shared" si="51"/>
        <v>-7.0342781055581227E-3</v>
      </c>
      <c r="H890" s="12" cm="1">
        <f t="array" ref="H890">PRODUCT(1+G$2:G890)-1</f>
        <v>0.18859971217177729</v>
      </c>
      <c r="I890">
        <f>H890-MAX(H$2:H890)</f>
        <v>-8.7581343525279687E-2</v>
      </c>
      <c r="L890" s="2">
        <f t="shared" si="53"/>
        <v>0.27611156814030424</v>
      </c>
    </row>
    <row r="891" spans="1:12" x14ac:dyDescent="0.25">
      <c r="A891" s="1">
        <v>45203</v>
      </c>
      <c r="B891">
        <v>422.07000732421801</v>
      </c>
      <c r="C891">
        <v>436.98850250244101</v>
      </c>
      <c r="D891">
        <v>443.20940002441398</v>
      </c>
      <c r="E891" t="str">
        <f t="shared" si="50"/>
        <v>Buy</v>
      </c>
      <c r="F891">
        <f t="shared" si="52"/>
        <v>1</v>
      </c>
      <c r="G891">
        <f t="shared" si="51"/>
        <v>5.4255881432127067E-3</v>
      </c>
      <c r="H891" s="12" cm="1">
        <f t="array" ref="H891">PRODUCT(1+G$2:G891)-1</f>
        <v>0.19504856467716269</v>
      </c>
      <c r="I891">
        <f>H891-MAX(H$2:H891)</f>
        <v>-8.1132491019894282E-2</v>
      </c>
      <c r="L891" s="2">
        <f t="shared" si="53"/>
        <v>0.2671350444762855</v>
      </c>
    </row>
    <row r="892" spans="1:12" x14ac:dyDescent="0.25">
      <c r="A892" s="1">
        <v>45204</v>
      </c>
      <c r="B892">
        <v>424.35998535156199</v>
      </c>
      <c r="C892">
        <v>436.05100250244101</v>
      </c>
      <c r="D892">
        <v>442.60719970703099</v>
      </c>
      <c r="E892" t="str">
        <f t="shared" si="50"/>
        <v>Buy</v>
      </c>
      <c r="F892">
        <f t="shared" si="52"/>
        <v>1</v>
      </c>
      <c r="G892">
        <f t="shared" si="51"/>
        <v>-5.6319733560151516E-3</v>
      </c>
      <c r="H892" s="12" cm="1">
        <f t="array" ref="H892">PRODUCT(1+G$2:G892)-1</f>
        <v>0.18831808300175679</v>
      </c>
      <c r="I892">
        <f>H892-MAX(H$2:H892)</f>
        <v>-8.786297269530019E-2</v>
      </c>
      <c r="L892" s="2">
        <f t="shared" si="53"/>
        <v>0.27400999734944531</v>
      </c>
    </row>
    <row r="893" spans="1:12" x14ac:dyDescent="0.25">
      <c r="A893" s="1">
        <v>45205</v>
      </c>
      <c r="B893">
        <v>421.97000122070301</v>
      </c>
      <c r="C893">
        <v>434.904502868652</v>
      </c>
      <c r="D893">
        <v>441.86619995117098</v>
      </c>
      <c r="E893" t="str">
        <f t="shared" si="50"/>
        <v>Buy</v>
      </c>
      <c r="F893">
        <f t="shared" si="52"/>
        <v>1</v>
      </c>
      <c r="G893">
        <f t="shared" si="51"/>
        <v>1.3294749236516927E-2</v>
      </c>
      <c r="H893" s="12" cm="1">
        <f t="array" ref="H893">PRODUCT(1+G$2:G893)-1</f>
        <v>0.20411647392848375</v>
      </c>
      <c r="I893">
        <f>H893-MAX(H$2:H893)</f>
        <v>-7.2064581768573222E-2</v>
      </c>
      <c r="L893" s="2">
        <f t="shared" si="53"/>
        <v>0.2668348069890763</v>
      </c>
    </row>
    <row r="894" spans="1:12" x14ac:dyDescent="0.25">
      <c r="A894" s="1">
        <v>45208</v>
      </c>
      <c r="B894">
        <v>427.579986572265</v>
      </c>
      <c r="C894">
        <v>433.87150268554598</v>
      </c>
      <c r="D894">
        <v>441.30019958496001</v>
      </c>
      <c r="E894" t="str">
        <f t="shared" si="50"/>
        <v>Buy</v>
      </c>
      <c r="F894">
        <f t="shared" si="52"/>
        <v>1</v>
      </c>
      <c r="G894">
        <f t="shared" si="51"/>
        <v>1.2535703347834617E-2</v>
      </c>
      <c r="H894" s="12" cm="1">
        <f t="array" ref="H894">PRODUCT(1+G$2:G894)-1</f>
        <v>0.21921092084189175</v>
      </c>
      <c r="I894">
        <f>H894-MAX(H$2:H894)</f>
        <v>-5.6970134855165222E-2</v>
      </c>
      <c r="L894" s="2">
        <f t="shared" si="53"/>
        <v>0.28367705807208737</v>
      </c>
    </row>
    <row r="895" spans="1:12" x14ac:dyDescent="0.25">
      <c r="A895" s="1">
        <v>45209</v>
      </c>
      <c r="B895">
        <v>432.94000244140602</v>
      </c>
      <c r="C895">
        <v>433.17100219726501</v>
      </c>
      <c r="D895">
        <v>440.810799560546</v>
      </c>
      <c r="E895" t="str">
        <f t="shared" si="50"/>
        <v>Buy</v>
      </c>
      <c r="F895">
        <f t="shared" si="52"/>
        <v>1</v>
      </c>
      <c r="G895">
        <f t="shared" si="51"/>
        <v>6.2364581507951197E-3</v>
      </c>
      <c r="H895" s="12" cm="1">
        <f t="array" ref="H895">PRODUCT(1+G$2:G895)-1</f>
        <v>0.22681447872671479</v>
      </c>
      <c r="I895">
        <f>H895-MAX(H$2:H895)</f>
        <v>-4.9366576970342191E-2</v>
      </c>
      <c r="L895" s="2">
        <f t="shared" si="53"/>
        <v>0.29976885286650018</v>
      </c>
    </row>
    <row r="896" spans="1:12" x14ac:dyDescent="0.25">
      <c r="A896" s="1">
        <v>45210</v>
      </c>
      <c r="B896">
        <v>435.64001464843699</v>
      </c>
      <c r="C896">
        <v>432.64200286865201</v>
      </c>
      <c r="D896">
        <v>440.39820007324198</v>
      </c>
      <c r="E896" t="str">
        <f t="shared" si="50"/>
        <v>Buy</v>
      </c>
      <c r="F896">
        <f t="shared" si="52"/>
        <v>1</v>
      </c>
      <c r="G896">
        <f t="shared" si="51"/>
        <v>3.0070643525508252E-3</v>
      </c>
      <c r="H896" s="12" cm="1">
        <f t="array" ref="H896">PRODUCT(1+G$2:G896)-1</f>
        <v>0.23050358881288702</v>
      </c>
      <c r="I896">
        <f>H896-MAX(H$2:H896)</f>
        <v>-4.5677466884169959E-2</v>
      </c>
      <c r="L896" s="2">
        <f t="shared" si="53"/>
        <v>0.30787480692310909</v>
      </c>
    </row>
    <row r="897" spans="1:12" x14ac:dyDescent="0.25">
      <c r="A897" s="1">
        <v>45211</v>
      </c>
      <c r="B897">
        <v>436.95001220703102</v>
      </c>
      <c r="C897">
        <v>432.036003112792</v>
      </c>
      <c r="D897">
        <v>440.072200317382</v>
      </c>
      <c r="E897" t="str">
        <f t="shared" si="50"/>
        <v>Buy</v>
      </c>
      <c r="F897">
        <f t="shared" si="52"/>
        <v>1</v>
      </c>
      <c r="G897">
        <f t="shared" si="51"/>
        <v>-3.9821963687886866E-3</v>
      </c>
      <c r="H897" s="12" cm="1">
        <f t="array" ref="H897">PRODUCT(1+G$2:G897)-1</f>
        <v>0.22560348188973478</v>
      </c>
      <c r="I897">
        <f>H897-MAX(H$2:H897)</f>
        <v>-5.0577573807322196E-2</v>
      </c>
      <c r="L897" s="2">
        <f t="shared" si="53"/>
        <v>0.31180767063260684</v>
      </c>
    </row>
    <row r="898" spans="1:12" x14ac:dyDescent="0.25">
      <c r="A898" s="1">
        <v>45212</v>
      </c>
      <c r="B898">
        <v>435.20999145507801</v>
      </c>
      <c r="C898">
        <v>431.43950195312402</v>
      </c>
      <c r="D898">
        <v>439.81559997558497</v>
      </c>
      <c r="E898" t="str">
        <f t="shared" si="50"/>
        <v>Buy</v>
      </c>
      <c r="F898">
        <f t="shared" si="52"/>
        <v>1</v>
      </c>
      <c r="G898">
        <f t="shared" si="51"/>
        <v>-3.1938240347211175E-3</v>
      </c>
      <c r="H898" s="12" cm="1">
        <f t="array" ref="H898">PRODUCT(1+G$2:G898)-1</f>
        <v>0.22168912003223751</v>
      </c>
      <c r="I898">
        <f>H898-MAX(H$2:H898)</f>
        <v>-5.4491935664819469E-2</v>
      </c>
      <c r="L898" s="2">
        <f t="shared" si="53"/>
        <v>0.30658379489006454</v>
      </c>
    </row>
    <row r="899" spans="1:12" x14ac:dyDescent="0.25">
      <c r="A899" s="1">
        <v>45215</v>
      </c>
      <c r="B899">
        <v>433.82000732421801</v>
      </c>
      <c r="C899">
        <v>430.97800292968702</v>
      </c>
      <c r="D899">
        <v>439.47760009765602</v>
      </c>
      <c r="E899" t="str">
        <f t="shared" ref="E899:E962" si="54">IF(OR(ISBLANK(C899),ISBLANK(D899),ISBLANK(C900),ISBLANK(D900)), "Hold", IF(AND(C899&gt;C900,C900&lt;=D900), "Buy", IF(AND(C899&lt;C900,C900&gt;=D900), "Sell", "Hold")))</f>
        <v>Buy</v>
      </c>
      <c r="F899">
        <f t="shared" si="52"/>
        <v>1</v>
      </c>
      <c r="G899">
        <f t="shared" ref="G899:G962" si="55">IF(F899=1,(B900-B899)/B899,0)</f>
        <v>-2.3281770056081418E-3</v>
      </c>
      <c r="H899" s="12" cm="1">
        <f t="array" ref="H899">PRODUCT(1+G$2:G899)-1</f>
        <v>0.21884481151497681</v>
      </c>
      <c r="I899">
        <f>H899-MAX(H$2:H899)</f>
        <v>-5.7336244182080165E-2</v>
      </c>
      <c r="L899" s="2">
        <f t="shared" si="53"/>
        <v>0.3024107961625675</v>
      </c>
    </row>
    <row r="900" spans="1:12" x14ac:dyDescent="0.25">
      <c r="A900" s="1">
        <v>45216</v>
      </c>
      <c r="B900">
        <v>432.80999755859301</v>
      </c>
      <c r="C900">
        <v>430.48450317382799</v>
      </c>
      <c r="D900">
        <v>439.15960021972597</v>
      </c>
      <c r="E900" t="str">
        <f t="shared" si="54"/>
        <v>Buy</v>
      </c>
      <c r="F900">
        <f t="shared" ref="F900:F963" si="56">IF(E900="Buy",1, IF(E900="Sell",0,F899))</f>
        <v>1</v>
      </c>
      <c r="G900">
        <f t="shared" si="55"/>
        <v>3.188477370202589E-3</v>
      </c>
      <c r="H900" s="12" cm="1">
        <f t="array" ref="H900">PRODUCT(1+G$2:G900)-1</f>
        <v>0.22273107061428132</v>
      </c>
      <c r="I900">
        <f>H900-MAX(H$2:H900)</f>
        <v>-5.3449985082775653E-2</v>
      </c>
      <c r="L900" s="2">
        <f t="shared" si="53"/>
        <v>0.299378553295086</v>
      </c>
    </row>
    <row r="901" spans="1:12" x14ac:dyDescent="0.25">
      <c r="A901" s="1">
        <v>45217</v>
      </c>
      <c r="B901">
        <v>434.19000244140602</v>
      </c>
      <c r="C901">
        <v>429.99350280761701</v>
      </c>
      <c r="D901">
        <v>438.88180053710897</v>
      </c>
      <c r="E901" t="str">
        <f t="shared" si="54"/>
        <v>Buy</v>
      </c>
      <c r="F901">
        <f t="shared" si="56"/>
        <v>1</v>
      </c>
      <c r="G901">
        <f t="shared" si="55"/>
        <v>-7.4621484054374024E-3</v>
      </c>
      <c r="H901" s="12" cm="1">
        <f t="array" ref="H901">PRODUCT(1+G$2:G901)-1</f>
        <v>0.21360686990541833</v>
      </c>
      <c r="I901">
        <f>H901-MAX(H$2:H901)</f>
        <v>-6.2574185791638648E-2</v>
      </c>
      <c r="L901" s="2">
        <f t="shared" si="53"/>
        <v>0.30352159240759397</v>
      </c>
    </row>
    <row r="902" spans="1:12" x14ac:dyDescent="0.25">
      <c r="A902" s="1">
        <v>45218</v>
      </c>
      <c r="B902">
        <v>430.95001220703102</v>
      </c>
      <c r="C902">
        <v>429.75600280761699</v>
      </c>
      <c r="D902">
        <v>438.52020080566399</v>
      </c>
      <c r="E902" t="str">
        <f t="shared" si="54"/>
        <v>Buy</v>
      </c>
      <c r="F902">
        <f t="shared" si="56"/>
        <v>1</v>
      </c>
      <c r="G902">
        <f t="shared" si="55"/>
        <v>-1.1532662907352215E-2</v>
      </c>
      <c r="H902" s="12" cm="1">
        <f t="array" ref="H902">PRODUCT(1+G$2:G902)-1</f>
        <v>0.19961075097275227</v>
      </c>
      <c r="I902">
        <f>H902-MAX(H$2:H902)</f>
        <v>-7.6570304724304705E-2</v>
      </c>
      <c r="L902" s="2">
        <f t="shared" si="53"/>
        <v>0.29379452083535645</v>
      </c>
    </row>
    <row r="903" spans="1:12" x14ac:dyDescent="0.25">
      <c r="A903" s="1">
        <v>45219</v>
      </c>
      <c r="B903">
        <v>425.98001098632801</v>
      </c>
      <c r="C903">
        <v>429.43250274658197</v>
      </c>
      <c r="D903">
        <v>438.076000976562</v>
      </c>
      <c r="E903" t="str">
        <f t="shared" si="54"/>
        <v>Buy</v>
      </c>
      <c r="F903">
        <f t="shared" si="56"/>
        <v>1</v>
      </c>
      <c r="G903">
        <f t="shared" si="55"/>
        <v>-1.4953813490019539E-2</v>
      </c>
      <c r="H903" s="12" cm="1">
        <f t="array" ref="H903">PRODUCT(1+G$2:G903)-1</f>
        <v>0.18167199554208335</v>
      </c>
      <c r="I903">
        <f>H903-MAX(H$2:H903)</f>
        <v>-9.4509060154973623E-2</v>
      </c>
      <c r="L903" s="2">
        <f t="shared" ref="L903:L966" si="57">(B903-B$134)/B$134</f>
        <v>0.27887362475518301</v>
      </c>
    </row>
    <row r="904" spans="1:12" x14ac:dyDescent="0.25">
      <c r="A904" s="1">
        <v>45222</v>
      </c>
      <c r="B904">
        <v>419.60998535156199</v>
      </c>
      <c r="C904">
        <v>428.95450134277303</v>
      </c>
      <c r="D904">
        <v>437.58880065917901</v>
      </c>
      <c r="E904" t="str">
        <f t="shared" si="54"/>
        <v>Buy</v>
      </c>
      <c r="F904">
        <f t="shared" si="56"/>
        <v>1</v>
      </c>
      <c r="G904">
        <f t="shared" si="55"/>
        <v>7.244843190218596E-3</v>
      </c>
      <c r="H904" s="12" cm="1">
        <f t="array" ref="H904">PRODUCT(1+G$2:G904)-1</f>
        <v>0.19023302385205842</v>
      </c>
      <c r="I904">
        <f>H904-MAX(H$2:H904)</f>
        <v>-8.5948031844998551E-2</v>
      </c>
      <c r="L904" s="2">
        <f t="shared" si="57"/>
        <v>0.25974958709328877</v>
      </c>
    </row>
    <row r="905" spans="1:12" x14ac:dyDescent="0.25">
      <c r="A905" s="1">
        <v>45223</v>
      </c>
      <c r="B905">
        <v>422.64999389648398</v>
      </c>
      <c r="C905">
        <v>428.63250122070298</v>
      </c>
      <c r="D905">
        <v>437.14780029296799</v>
      </c>
      <c r="E905" t="str">
        <f t="shared" si="54"/>
        <v>Buy</v>
      </c>
      <c r="F905">
        <f t="shared" si="56"/>
        <v>1</v>
      </c>
      <c r="G905">
        <f t="shared" si="55"/>
        <v>-1.7981290879495999E-3</v>
      </c>
      <c r="H905" s="12" cm="1">
        <f t="array" ref="H905">PRODUCT(1+G$2:G905)-1</f>
        <v>0.18809283123043175</v>
      </c>
      <c r="I905">
        <f>H905-MAX(H$2:H905)</f>
        <v>-8.8088224466625231E-2</v>
      </c>
      <c r="L905" s="2">
        <f t="shared" si="57"/>
        <v>0.26887627531072222</v>
      </c>
    </row>
    <row r="906" spans="1:12" x14ac:dyDescent="0.25">
      <c r="A906" s="1">
        <v>45224</v>
      </c>
      <c r="B906">
        <v>421.89001464843699</v>
      </c>
      <c r="C906">
        <v>428.37250213623003</v>
      </c>
      <c r="D906">
        <v>436.66020080566398</v>
      </c>
      <c r="E906" t="str">
        <f t="shared" si="54"/>
        <v>Buy</v>
      </c>
      <c r="F906">
        <f t="shared" si="56"/>
        <v>1</v>
      </c>
      <c r="G906">
        <f t="shared" si="55"/>
        <v>-1.2894361687936952E-2</v>
      </c>
      <c r="H906" s="12" cm="1">
        <f t="array" ref="H906">PRODUCT(1+G$2:G906)-1</f>
        <v>0.17277313254570137</v>
      </c>
      <c r="I906">
        <f>H906-MAX(H$2:H906)</f>
        <v>-0.10340792315135561</v>
      </c>
      <c r="L906" s="2">
        <f t="shared" si="57"/>
        <v>0.26659467197107689</v>
      </c>
    </row>
    <row r="907" spans="1:12" x14ac:dyDescent="0.25">
      <c r="A907" s="1">
        <v>45225</v>
      </c>
      <c r="B907">
        <v>416.45001220703102</v>
      </c>
      <c r="C907">
        <v>427.92100219726501</v>
      </c>
      <c r="D907">
        <v>436.14000122070303</v>
      </c>
      <c r="E907" t="str">
        <f t="shared" si="54"/>
        <v>Buy</v>
      </c>
      <c r="F907">
        <f t="shared" si="56"/>
        <v>1</v>
      </c>
      <c r="G907">
        <f t="shared" si="55"/>
        <v>-5.4268452380341744E-3</v>
      </c>
      <c r="H907" s="12" cm="1">
        <f t="array" ref="H907">PRODUCT(1+G$2:G907)-1</f>
        <v>0.16640867425605133</v>
      </c>
      <c r="I907">
        <f>H907-MAX(H$2:H907)</f>
        <v>-0.10977238144100565</v>
      </c>
      <c r="L907" s="2">
        <f t="shared" si="57"/>
        <v>0.25026274215866795</v>
      </c>
    </row>
    <row r="908" spans="1:12" x14ac:dyDescent="0.25">
      <c r="A908" s="1">
        <v>45226</v>
      </c>
      <c r="B908">
        <v>414.19000244140602</v>
      </c>
      <c r="C908">
        <v>427.047001647949</v>
      </c>
      <c r="D908">
        <v>435.60060119628901</v>
      </c>
      <c r="E908" t="str">
        <f t="shared" si="54"/>
        <v>Buy</v>
      </c>
      <c r="F908">
        <f t="shared" si="56"/>
        <v>1</v>
      </c>
      <c r="G908">
        <f t="shared" si="55"/>
        <v>-1.5210528479671262E-3</v>
      </c>
      <c r="H908" s="12" cm="1">
        <f t="array" ref="H908">PRODUCT(1+G$2:G908)-1</f>
        <v>0.16463450502018051</v>
      </c>
      <c r="I908">
        <f>H908-MAX(H$2:H908)</f>
        <v>-0.11154655067687647</v>
      </c>
      <c r="L908" s="2">
        <f t="shared" si="57"/>
        <v>0.24347775975009264</v>
      </c>
    </row>
    <row r="909" spans="1:12" x14ac:dyDescent="0.25">
      <c r="A909" s="1">
        <v>45229</v>
      </c>
      <c r="B909">
        <v>413.55999755859301</v>
      </c>
      <c r="C909">
        <v>426.39400177001897</v>
      </c>
      <c r="D909">
        <v>435.20440124511703</v>
      </c>
      <c r="E909" t="str">
        <f t="shared" si="54"/>
        <v>Buy</v>
      </c>
      <c r="F909">
        <f t="shared" si="56"/>
        <v>1</v>
      </c>
      <c r="G909">
        <f t="shared" si="55"/>
        <v>6.3352237466265384E-3</v>
      </c>
      <c r="H909" s="12" cm="1">
        <f t="array" ref="H909">PRODUCT(1+G$2:G909)-1</f>
        <v>0.17201272519252497</v>
      </c>
      <c r="I909">
        <f>H909-MAX(H$2:H909)</f>
        <v>-0.104168330504532</v>
      </c>
      <c r="L909" s="2">
        <f t="shared" si="57"/>
        <v>0.24158636436224099</v>
      </c>
    </row>
    <row r="910" spans="1:12" x14ac:dyDescent="0.25">
      <c r="A910" s="1">
        <v>45230</v>
      </c>
      <c r="B910">
        <v>416.17999267578102</v>
      </c>
      <c r="C910">
        <v>425.95000152587801</v>
      </c>
      <c r="D910">
        <v>434.77700134277302</v>
      </c>
      <c r="E910" t="str">
        <f t="shared" si="54"/>
        <v>Buy</v>
      </c>
      <c r="F910">
        <f t="shared" si="56"/>
        <v>1</v>
      </c>
      <c r="G910">
        <f t="shared" si="55"/>
        <v>7.2565226209773672E-3</v>
      </c>
      <c r="H910" s="12" cm="1">
        <f t="array" ref="H910">PRODUCT(1+G$2:G910)-1</f>
        <v>0.18051746204495789</v>
      </c>
      <c r="I910">
        <f>H910-MAX(H$2:H910)</f>
        <v>-9.5663593652099088E-2</v>
      </c>
      <c r="L910" s="2">
        <f t="shared" si="57"/>
        <v>0.24945209178123637</v>
      </c>
    </row>
    <row r="911" spans="1:12" x14ac:dyDescent="0.25">
      <c r="A911" s="1">
        <v>45231</v>
      </c>
      <c r="B911">
        <v>419.20001220703102</v>
      </c>
      <c r="C911">
        <v>425.806501770019</v>
      </c>
      <c r="D911">
        <v>434.337401733398</v>
      </c>
      <c r="E911" t="str">
        <f t="shared" si="54"/>
        <v>Hold</v>
      </c>
      <c r="F911">
        <f t="shared" si="56"/>
        <v>1</v>
      </c>
      <c r="G911">
        <f t="shared" si="55"/>
        <v>1.7604900167772934E-2</v>
      </c>
      <c r="H911" s="12" cm="1">
        <f t="array" ref="H911">PRODUCT(1+G$2:G911)-1</f>
        <v>0.20130035411057201</v>
      </c>
      <c r="I911">
        <f>H911-MAX(H$2:H911)</f>
        <v>-7.4880701586484966E-2</v>
      </c>
      <c r="L911" s="2">
        <f t="shared" si="57"/>
        <v>0.2585187691490744</v>
      </c>
    </row>
    <row r="912" spans="1:12" x14ac:dyDescent="0.25">
      <c r="A912" s="1">
        <v>45232</v>
      </c>
      <c r="B912">
        <v>426.579986572265</v>
      </c>
      <c r="C912">
        <v>425.91750183105398</v>
      </c>
      <c r="D912">
        <v>434.08400146484303</v>
      </c>
      <c r="E912" t="str">
        <f t="shared" si="54"/>
        <v>Hold</v>
      </c>
      <c r="F912">
        <f t="shared" si="56"/>
        <v>1</v>
      </c>
      <c r="G912">
        <f t="shared" si="55"/>
        <v>1.5378189982339183E-2</v>
      </c>
      <c r="H912" s="12" cm="1">
        <f t="array" ref="H912">PRODUCT(1+G$2:G912)-1</f>
        <v>0.21977417918193565</v>
      </c>
      <c r="I912">
        <f>H912-MAX(H$2:H912)</f>
        <v>-5.6406876515121329E-2</v>
      </c>
      <c r="L912" s="2">
        <f t="shared" si="57"/>
        <v>0.28067486643921236</v>
      </c>
    </row>
    <row r="913" spans="1:12" x14ac:dyDescent="0.25">
      <c r="A913" s="1">
        <v>45233</v>
      </c>
      <c r="B913">
        <v>433.14001464843699</v>
      </c>
      <c r="C913">
        <v>426.47600250244102</v>
      </c>
      <c r="D913">
        <v>433.85300170898398</v>
      </c>
      <c r="E913" t="str">
        <f t="shared" si="54"/>
        <v>Hold</v>
      </c>
      <c r="F913">
        <f t="shared" si="56"/>
        <v>1</v>
      </c>
      <c r="G913">
        <f t="shared" si="55"/>
        <v>5.3792918997732937E-3</v>
      </c>
      <c r="H913" s="12" cm="1">
        <f t="array" ref="H913">PRODUCT(1+G$2:G913)-1</f>
        <v>0.22633570054356156</v>
      </c>
      <c r="I913">
        <f>H913-MAX(H$2:H913)</f>
        <v>-4.9845355153495419E-2</v>
      </c>
      <c r="L913" s="2">
        <f t="shared" si="57"/>
        <v>0.30036932784092141</v>
      </c>
    </row>
    <row r="914" spans="1:12" x14ac:dyDescent="0.25">
      <c r="A914" s="1">
        <v>45236</v>
      </c>
      <c r="B914">
        <v>435.47000122070301</v>
      </c>
      <c r="C914">
        <v>426.87050323486301</v>
      </c>
      <c r="D914">
        <v>433.78880187988199</v>
      </c>
      <c r="E914" t="str">
        <f t="shared" si="54"/>
        <v>Hold</v>
      </c>
      <c r="F914">
        <f t="shared" si="56"/>
        <v>1</v>
      </c>
      <c r="G914">
        <f t="shared" si="55"/>
        <v>5.0520407855031847E-4</v>
      </c>
      <c r="H914" s="12" cm="1">
        <f t="array" ref="H914">PRODUCT(1+G$2:G914)-1</f>
        <v>0.22695525034114805</v>
      </c>
      <c r="I914">
        <f>H914-MAX(H$2:H914)</f>
        <v>-4.9225805355908925E-2</v>
      </c>
      <c r="L914" s="2">
        <f t="shared" si="57"/>
        <v>0.30736439403288973</v>
      </c>
    </row>
    <row r="915" spans="1:12" x14ac:dyDescent="0.25">
      <c r="A915" s="1">
        <v>45237</v>
      </c>
      <c r="B915">
        <v>435.69000244140602</v>
      </c>
      <c r="C915">
        <v>427.008003234863</v>
      </c>
      <c r="D915">
        <v>433.65780212402302</v>
      </c>
      <c r="E915" t="str">
        <f t="shared" si="54"/>
        <v>Hold</v>
      </c>
      <c r="F915">
        <f t="shared" si="56"/>
        <v>1</v>
      </c>
      <c r="G915">
        <f t="shared" si="55"/>
        <v>4.2690567631561141E-3</v>
      </c>
      <c r="H915" s="12" cm="1">
        <f t="array" ref="H915">PRODUCT(1+G$2:G915)-1</f>
        <v>0.23219319195070676</v>
      </c>
      <c r="I915">
        <f>H915-MAX(H$2:H915)</f>
        <v>-4.398786374635022E-2</v>
      </c>
      <c r="L915" s="2">
        <f t="shared" si="57"/>
        <v>0.30802487985690657</v>
      </c>
    </row>
    <row r="916" spans="1:12" x14ac:dyDescent="0.25">
      <c r="A916" s="1">
        <v>45238</v>
      </c>
      <c r="B916">
        <v>437.54998779296801</v>
      </c>
      <c r="C916">
        <v>427.10350189208901</v>
      </c>
      <c r="D916">
        <v>433.555802001953</v>
      </c>
      <c r="E916" t="str">
        <f t="shared" si="54"/>
        <v>Hold</v>
      </c>
      <c r="F916">
        <f t="shared" si="56"/>
        <v>1</v>
      </c>
      <c r="G916">
        <f t="shared" si="55"/>
        <v>2.011209935696299E-3</v>
      </c>
      <c r="H916" s="12" cm="1">
        <f t="array" ref="H916">PRODUCT(1+G$2:G916)-1</f>
        <v>0.2346713911410554</v>
      </c>
      <c r="I916">
        <f>H916-MAX(H$2:H916)</f>
        <v>-4.150966455600158E-2</v>
      </c>
      <c r="L916" s="2">
        <f t="shared" si="57"/>
        <v>0.31360891231663618</v>
      </c>
    </row>
    <row r="917" spans="1:12" x14ac:dyDescent="0.25">
      <c r="A917" s="1">
        <v>45239</v>
      </c>
      <c r="B917">
        <v>438.42999267578102</v>
      </c>
      <c r="C917">
        <v>427.17750091552699</v>
      </c>
      <c r="D917">
        <v>433.334201660156</v>
      </c>
      <c r="E917" t="str">
        <f t="shared" si="54"/>
        <v>Hold</v>
      </c>
      <c r="F917">
        <f t="shared" si="56"/>
        <v>1</v>
      </c>
      <c r="G917">
        <f t="shared" si="55"/>
        <v>-5.5880795802781052E-3</v>
      </c>
      <c r="H917" s="12" cm="1">
        <f t="array" ref="H917">PRODUCT(1+G$2:G917)-1</f>
        <v>0.2277719491518666</v>
      </c>
      <c r="I917">
        <f>H917-MAX(H$2:H917)</f>
        <v>-4.8409106545190372E-2</v>
      </c>
      <c r="L917" s="2">
        <f t="shared" si="57"/>
        <v>0.31625085561270661</v>
      </c>
    </row>
    <row r="918" spans="1:12" x14ac:dyDescent="0.25">
      <c r="A918" s="1">
        <v>45240</v>
      </c>
      <c r="B918">
        <v>435.98001098632801</v>
      </c>
      <c r="C918">
        <v>427.21600189208903</v>
      </c>
      <c r="D918">
        <v>433.02080200195297</v>
      </c>
      <c r="E918" t="str">
        <f t="shared" si="54"/>
        <v>Hold</v>
      </c>
      <c r="F918">
        <f t="shared" si="56"/>
        <v>1</v>
      </c>
      <c r="G918">
        <f t="shared" si="55"/>
        <v>7.4544702007035765E-3</v>
      </c>
      <c r="H918" s="12" cm="1">
        <f t="array" ref="H918">PRODUCT(1+G$2:G918)-1</f>
        <v>0.236924338560079</v>
      </c>
      <c r="I918">
        <f>H918-MAX(H$2:H918)</f>
        <v>-3.9256717136977981E-2</v>
      </c>
      <c r="L918" s="2">
        <f t="shared" si="57"/>
        <v>0.30889554108393363</v>
      </c>
    </row>
    <row r="919" spans="1:12" x14ac:dyDescent="0.25">
      <c r="A919" s="1">
        <v>45243</v>
      </c>
      <c r="B919">
        <v>439.23001098632801</v>
      </c>
      <c r="C919">
        <v>427.48650207519501</v>
      </c>
      <c r="D919">
        <v>432.74200195312397</v>
      </c>
      <c r="E919" t="str">
        <f t="shared" si="54"/>
        <v>Hold</v>
      </c>
      <c r="F919">
        <f t="shared" si="56"/>
        <v>1</v>
      </c>
      <c r="G919">
        <f t="shared" si="55"/>
        <v>1.6141875920474596E-2</v>
      </c>
      <c r="H919" s="12" cm="1">
        <f t="array" ref="H919">PRODUCT(1+G$2:G919)-1</f>
        <v>0.25689061775613076</v>
      </c>
      <c r="I919">
        <f>H919-MAX(H$2:H919)</f>
        <v>-1.9290437940926219E-2</v>
      </c>
      <c r="L919" s="2">
        <f t="shared" si="57"/>
        <v>0.31865266389077762</v>
      </c>
    </row>
    <row r="920" spans="1:12" x14ac:dyDescent="0.25">
      <c r="A920" s="1">
        <v>45244</v>
      </c>
      <c r="B920">
        <v>446.32000732421801</v>
      </c>
      <c r="C920">
        <v>428.16200256347599</v>
      </c>
      <c r="D920">
        <v>432.653801879882</v>
      </c>
      <c r="E920" t="str">
        <f t="shared" si="54"/>
        <v>Hold</v>
      </c>
      <c r="F920">
        <f t="shared" si="56"/>
        <v>1</v>
      </c>
      <c r="G920">
        <f t="shared" si="55"/>
        <v>8.4916158028982159E-3</v>
      </c>
      <c r="H920" s="12" cm="1">
        <f t="array" ref="H920">PRODUCT(1+G$2:G920)-1</f>
        <v>0.26756364998838333</v>
      </c>
      <c r="I920">
        <f>H920-MAX(H$2:H920)</f>
        <v>-8.6174057086736422E-3</v>
      </c>
      <c r="L920" s="2">
        <f t="shared" si="57"/>
        <v>0.33993819157350585</v>
      </c>
    </row>
    <row r="921" spans="1:12" x14ac:dyDescent="0.25">
      <c r="A921" s="1">
        <v>45245</v>
      </c>
      <c r="B921">
        <v>450.10998535156199</v>
      </c>
      <c r="C921">
        <v>428.958001708984</v>
      </c>
      <c r="D921">
        <v>432.68800170898402</v>
      </c>
      <c r="E921" t="str">
        <f t="shared" si="54"/>
        <v>Hold</v>
      </c>
      <c r="F921">
        <f t="shared" si="56"/>
        <v>1</v>
      </c>
      <c r="G921">
        <f t="shared" si="55"/>
        <v>-1.9772592473456191E-3</v>
      </c>
      <c r="H921" s="12" cm="1">
        <f t="array" ref="H921">PRODUCT(1+G$2:G921)-1</f>
        <v>0.2650573480398446</v>
      </c>
      <c r="I921">
        <f>H921-MAX(H$2:H921)</f>
        <v>-1.1123707657212378E-2</v>
      </c>
      <c r="L921" s="2">
        <f t="shared" si="57"/>
        <v>0.35131643189597828</v>
      </c>
    </row>
    <row r="922" spans="1:12" x14ac:dyDescent="0.25">
      <c r="A922" s="1">
        <v>45246</v>
      </c>
      <c r="B922">
        <v>449.22000122070301</v>
      </c>
      <c r="C922">
        <v>429.87150115966699</v>
      </c>
      <c r="D922">
        <v>432.81020202636699</v>
      </c>
      <c r="E922" t="str">
        <f t="shared" si="54"/>
        <v>Hold</v>
      </c>
      <c r="F922">
        <f t="shared" si="56"/>
        <v>1</v>
      </c>
      <c r="G922">
        <f t="shared" si="55"/>
        <v>2.2705779148307899E-3</v>
      </c>
      <c r="H922" s="12" cm="1">
        <f t="array" ref="H922">PRODUCT(1+G$2:G922)-1</f>
        <v>0.26792975931529828</v>
      </c>
      <c r="I922">
        <f>H922-MAX(H$2:H922)</f>
        <v>-8.2512963817586993E-3</v>
      </c>
      <c r="L922" s="2">
        <f t="shared" si="57"/>
        <v>0.34864452898492188</v>
      </c>
    </row>
    <row r="923" spans="1:12" x14ac:dyDescent="0.25">
      <c r="A923" s="1">
        <v>45247</v>
      </c>
      <c r="B923">
        <v>450.239990234375</v>
      </c>
      <c r="C923">
        <v>431.08450012206998</v>
      </c>
      <c r="D923">
        <v>432.91700195312399</v>
      </c>
      <c r="E923" t="str">
        <f t="shared" si="54"/>
        <v>Hold</v>
      </c>
      <c r="F923">
        <f t="shared" si="56"/>
        <v>1</v>
      </c>
      <c r="G923">
        <f t="shared" si="55"/>
        <v>6.4411991651398348E-4</v>
      </c>
      <c r="H923" s="12" cm="1">
        <f t="array" ref="H923">PRODUCT(1+G$2:G923)-1</f>
        <v>0.26874645812601394</v>
      </c>
      <c r="I923">
        <f>H923-MAX(H$2:H923)</f>
        <v>-7.4345975710430334E-3</v>
      </c>
      <c r="L923" s="2">
        <f t="shared" si="57"/>
        <v>0.3517067314673924</v>
      </c>
    </row>
    <row r="924" spans="1:12" x14ac:dyDescent="0.25">
      <c r="A924" s="1">
        <v>45250</v>
      </c>
      <c r="B924">
        <v>450.52999877929602</v>
      </c>
      <c r="C924">
        <v>432.63050079345697</v>
      </c>
      <c r="D924">
        <v>432.96280212402303</v>
      </c>
      <c r="E924" t="str">
        <f t="shared" si="54"/>
        <v>Sell</v>
      </c>
      <c r="F924">
        <f t="shared" si="56"/>
        <v>0</v>
      </c>
      <c r="G924">
        <f t="shared" si="55"/>
        <v>0</v>
      </c>
      <c r="H924" s="12" cm="1">
        <f t="array" ref="H924">PRODUCT(1+G$2:G924)-1</f>
        <v>0.26874645812601394</v>
      </c>
      <c r="I924">
        <f>H924-MAX(H$2:H924)</f>
        <v>-7.4345975710430334E-3</v>
      </c>
      <c r="L924" s="2">
        <f t="shared" si="57"/>
        <v>0.35257739269441657</v>
      </c>
    </row>
    <row r="925" spans="1:12" x14ac:dyDescent="0.25">
      <c r="A925" s="1">
        <v>45251</v>
      </c>
      <c r="B925">
        <v>453.17999267578102</v>
      </c>
      <c r="C925">
        <v>434.15700073242101</v>
      </c>
      <c r="D925">
        <v>433.087401733398</v>
      </c>
      <c r="E925" t="str">
        <f t="shared" si="54"/>
        <v>Sell</v>
      </c>
      <c r="F925">
        <f t="shared" si="56"/>
        <v>0</v>
      </c>
      <c r="G925">
        <f t="shared" si="55"/>
        <v>0</v>
      </c>
      <c r="H925" s="12" cm="1">
        <f t="array" ref="H925">PRODUCT(1+G$2:G925)-1</f>
        <v>0.26874645812601394</v>
      </c>
      <c r="I925">
        <f>H925-MAX(H$2:H925)</f>
        <v>-7.4345975710430334E-3</v>
      </c>
      <c r="L925" s="2">
        <f t="shared" si="57"/>
        <v>0.36053318219761382</v>
      </c>
    </row>
    <row r="926" spans="1:12" x14ac:dyDescent="0.25">
      <c r="A926" s="1">
        <v>45252</v>
      </c>
      <c r="B926">
        <v>454.98001098632801</v>
      </c>
      <c r="C926">
        <v>435.81150054931601</v>
      </c>
      <c r="D926">
        <v>433.26260192871001</v>
      </c>
      <c r="E926" t="str">
        <f t="shared" si="54"/>
        <v>Sell</v>
      </c>
      <c r="F926">
        <f t="shared" si="56"/>
        <v>0</v>
      </c>
      <c r="G926">
        <f t="shared" si="55"/>
        <v>0</v>
      </c>
      <c r="H926" s="12" cm="1">
        <f t="array" ref="H926">PRODUCT(1+G$2:G926)-1</f>
        <v>0.26874645812601394</v>
      </c>
      <c r="I926">
        <f>H926-MAX(H$2:H926)</f>
        <v>-7.4345975710430334E-3</v>
      </c>
      <c r="L926" s="2">
        <f t="shared" si="57"/>
        <v>0.36593718210855991</v>
      </c>
    </row>
    <row r="927" spans="1:12" x14ac:dyDescent="0.25">
      <c r="A927" s="1">
        <v>45254</v>
      </c>
      <c r="B927">
        <v>455.07000732421801</v>
      </c>
      <c r="C927">
        <v>437.74250030517499</v>
      </c>
      <c r="D927">
        <v>433.38260192871002</v>
      </c>
      <c r="E927" t="str">
        <f t="shared" si="54"/>
        <v>Sell</v>
      </c>
      <c r="F927">
        <f t="shared" si="56"/>
        <v>0</v>
      </c>
      <c r="G927">
        <f t="shared" si="55"/>
        <v>0</v>
      </c>
      <c r="H927" s="12" cm="1">
        <f t="array" ref="H927">PRODUCT(1+G$2:G927)-1</f>
        <v>0.26874645812601394</v>
      </c>
      <c r="I927">
        <f>H927-MAX(H$2:H927)</f>
        <v>-7.4345975710430334E-3</v>
      </c>
      <c r="L927" s="2">
        <f t="shared" si="57"/>
        <v>0.36620736836116269</v>
      </c>
    </row>
    <row r="928" spans="1:12" x14ac:dyDescent="0.25">
      <c r="A928" s="1">
        <v>45257</v>
      </c>
      <c r="B928">
        <v>454.64999389648398</v>
      </c>
      <c r="C928">
        <v>439.76549987792902</v>
      </c>
      <c r="D928">
        <v>433.53280151367102</v>
      </c>
      <c r="E928" t="str">
        <f t="shared" si="54"/>
        <v>Sell</v>
      </c>
      <c r="F928">
        <f t="shared" si="56"/>
        <v>0</v>
      </c>
      <c r="G928">
        <f t="shared" si="55"/>
        <v>0</v>
      </c>
      <c r="H928" s="12" cm="1">
        <f t="array" ref="H928">PRODUCT(1+G$2:G928)-1</f>
        <v>0.26874645812601394</v>
      </c>
      <c r="I928">
        <f>H928-MAX(H$2:H928)</f>
        <v>-7.4345975710430334E-3</v>
      </c>
      <c r="L928" s="2">
        <f t="shared" si="57"/>
        <v>0.3649464075627244</v>
      </c>
    </row>
    <row r="929" spans="1:12" x14ac:dyDescent="0.25">
      <c r="A929" s="1">
        <v>45258</v>
      </c>
      <c r="B929">
        <v>454.079986572265</v>
      </c>
      <c r="C929">
        <v>441.79149932861299</v>
      </c>
      <c r="D929">
        <v>433.75340148925699</v>
      </c>
      <c r="E929" t="str">
        <f t="shared" si="54"/>
        <v>Sell</v>
      </c>
      <c r="F929">
        <f t="shared" si="56"/>
        <v>0</v>
      </c>
      <c r="G929">
        <f t="shared" si="55"/>
        <v>0</v>
      </c>
      <c r="H929" s="12" cm="1">
        <f t="array" ref="H929">PRODUCT(1+G$2:G929)-1</f>
        <v>0.26874645812601394</v>
      </c>
      <c r="I929">
        <f>H929-MAX(H$2:H929)</f>
        <v>-7.4345975710430334E-3</v>
      </c>
      <c r="L929" s="2">
        <f t="shared" si="57"/>
        <v>0.36323513634327664</v>
      </c>
    </row>
    <row r="930" spans="1:12" x14ac:dyDescent="0.25">
      <c r="A930" s="1">
        <v>45259</v>
      </c>
      <c r="B930">
        <v>457.14999389648398</v>
      </c>
      <c r="C930">
        <v>443.83999938964803</v>
      </c>
      <c r="D930">
        <v>434.04280151367101</v>
      </c>
      <c r="E930" t="str">
        <f t="shared" si="54"/>
        <v>Sell</v>
      </c>
      <c r="F930">
        <f t="shared" si="56"/>
        <v>0</v>
      </c>
      <c r="G930">
        <f t="shared" si="55"/>
        <v>0</v>
      </c>
      <c r="H930" s="12" cm="1">
        <f t="array" ref="H930">PRODUCT(1+G$2:G930)-1</f>
        <v>0.26874645812601394</v>
      </c>
      <c r="I930">
        <f>H930-MAX(H$2:H930)</f>
        <v>-7.4345975710430334E-3</v>
      </c>
      <c r="L930" s="2">
        <f t="shared" si="57"/>
        <v>0.37245188664491208</v>
      </c>
    </row>
    <row r="931" spans="1:12" x14ac:dyDescent="0.25">
      <c r="A931" s="1">
        <v>45260</v>
      </c>
      <c r="B931">
        <v>455.48001098632801</v>
      </c>
      <c r="C931">
        <v>445.653999328613</v>
      </c>
      <c r="D931">
        <v>434.27220153808503</v>
      </c>
      <c r="E931" t="str">
        <f t="shared" si="54"/>
        <v>Sell</v>
      </c>
      <c r="F931">
        <f t="shared" si="56"/>
        <v>0</v>
      </c>
      <c r="G931">
        <f t="shared" si="55"/>
        <v>0</v>
      </c>
      <c r="H931" s="12" cm="1">
        <f t="array" ref="H931">PRODUCT(1+G$2:G931)-1</f>
        <v>0.26874645812601394</v>
      </c>
      <c r="I931">
        <f>H931-MAX(H$2:H931)</f>
        <v>-7.4345975710430334E-3</v>
      </c>
      <c r="L931" s="2">
        <f t="shared" si="57"/>
        <v>0.36743827792499745</v>
      </c>
    </row>
    <row r="932" spans="1:12" x14ac:dyDescent="0.25">
      <c r="A932" s="1">
        <v>45261</v>
      </c>
      <c r="B932">
        <v>455.76998901367102</v>
      </c>
      <c r="C932">
        <v>447.11349945068298</v>
      </c>
      <c r="D932">
        <v>434.67360107421803</v>
      </c>
      <c r="E932" t="str">
        <f t="shared" si="54"/>
        <v>Sell</v>
      </c>
      <c r="F932">
        <f t="shared" si="56"/>
        <v>0</v>
      </c>
      <c r="G932">
        <f t="shared" si="55"/>
        <v>0</v>
      </c>
      <c r="H932" s="12" cm="1">
        <f t="array" ref="H932">PRODUCT(1+G$2:G932)-1</f>
        <v>0.26874645812601394</v>
      </c>
      <c r="I932">
        <f>H932-MAX(H$2:H932)</f>
        <v>-7.4345975710430334E-3</v>
      </c>
      <c r="L932" s="2">
        <f t="shared" si="57"/>
        <v>0.36830884753240428</v>
      </c>
    </row>
    <row r="933" spans="1:12" x14ac:dyDescent="0.25">
      <c r="A933" s="1">
        <v>45264</v>
      </c>
      <c r="B933">
        <v>455.600006103515</v>
      </c>
      <c r="C933">
        <v>448.23649902343698</v>
      </c>
      <c r="D933">
        <v>435.136600952148</v>
      </c>
      <c r="E933" t="str">
        <f t="shared" si="54"/>
        <v>Sell</v>
      </c>
      <c r="F933">
        <f t="shared" si="56"/>
        <v>0</v>
      </c>
      <c r="G933">
        <f t="shared" si="55"/>
        <v>0</v>
      </c>
      <c r="H933" s="12" cm="1">
        <f t="array" ref="H933">PRODUCT(1+G$2:G933)-1</f>
        <v>0.26874645812601394</v>
      </c>
      <c r="I933">
        <f>H933-MAX(H$2:H933)</f>
        <v>-7.4345975710430334E-3</v>
      </c>
      <c r="L933" s="2">
        <f t="shared" si="57"/>
        <v>0.36779852626180209</v>
      </c>
    </row>
    <row r="934" spans="1:12" x14ac:dyDescent="0.25">
      <c r="A934" s="1">
        <v>45265</v>
      </c>
      <c r="B934">
        <v>455.260009765625</v>
      </c>
      <c r="C934">
        <v>449.22599945068299</v>
      </c>
      <c r="D934">
        <v>435.65840087890598</v>
      </c>
      <c r="E934" t="str">
        <f t="shared" si="54"/>
        <v>Sell</v>
      </c>
      <c r="F934">
        <f t="shared" si="56"/>
        <v>0</v>
      </c>
      <c r="G934">
        <f t="shared" si="55"/>
        <v>0</v>
      </c>
      <c r="H934" s="12" cm="1">
        <f t="array" ref="H934">PRODUCT(1+G$2:G934)-1</f>
        <v>0.26874645812601394</v>
      </c>
      <c r="I934">
        <f>H934-MAX(H$2:H934)</f>
        <v>-7.4345975710430334E-3</v>
      </c>
      <c r="L934" s="2">
        <f t="shared" si="57"/>
        <v>0.3667777921009806</v>
      </c>
    </row>
    <row r="935" spans="1:12" x14ac:dyDescent="0.25">
      <c r="A935" s="1">
        <v>45266</v>
      </c>
      <c r="B935">
        <v>458.80999755859301</v>
      </c>
      <c r="C935">
        <v>450.38199920654199</v>
      </c>
      <c r="D935">
        <v>436.25280090332001</v>
      </c>
      <c r="E935" t="str">
        <f t="shared" si="54"/>
        <v>Sell</v>
      </c>
      <c r="F935">
        <f t="shared" si="56"/>
        <v>0</v>
      </c>
      <c r="G935">
        <f t="shared" si="55"/>
        <v>0</v>
      </c>
      <c r="H935" s="12" cm="1">
        <f t="array" ref="H935">PRODUCT(1+G$2:G935)-1</f>
        <v>0.26874645812601394</v>
      </c>
      <c r="I935">
        <f>H935-MAX(H$2:H935)</f>
        <v>-7.4345975710430334E-3</v>
      </c>
      <c r="L935" s="2">
        <f t="shared" si="57"/>
        <v>0.37743553574983779</v>
      </c>
    </row>
    <row r="936" spans="1:12" x14ac:dyDescent="0.25">
      <c r="A936" s="1">
        <v>45267</v>
      </c>
      <c r="B936">
        <v>456.91000366210898</v>
      </c>
      <c r="C936">
        <v>451.349999999999</v>
      </c>
      <c r="D936">
        <v>436.84920104980398</v>
      </c>
      <c r="E936" t="str">
        <f t="shared" si="54"/>
        <v>Sell</v>
      </c>
      <c r="F936">
        <f t="shared" si="56"/>
        <v>0</v>
      </c>
      <c r="G936">
        <f t="shared" si="55"/>
        <v>0</v>
      </c>
      <c r="H936" s="12" cm="1">
        <f t="array" ref="H936">PRODUCT(1+G$2:G936)-1</f>
        <v>0.26874645812601394</v>
      </c>
      <c r="I936">
        <f>H936-MAX(H$2:H936)</f>
        <v>-7.4345975710430334E-3</v>
      </c>
      <c r="L936" s="2">
        <f t="shared" si="57"/>
        <v>0.37173138997129973</v>
      </c>
    </row>
    <row r="937" spans="1:12" x14ac:dyDescent="0.25">
      <c r="A937" s="1">
        <v>45268</v>
      </c>
      <c r="B937">
        <v>457.45999145507801</v>
      </c>
      <c r="C937">
        <v>452.30149993896401</v>
      </c>
      <c r="D937">
        <v>437.48880065917899</v>
      </c>
      <c r="E937" t="str">
        <f t="shared" si="54"/>
        <v>Sell</v>
      </c>
      <c r="F937">
        <f t="shared" si="56"/>
        <v>0</v>
      </c>
      <c r="G937">
        <f t="shared" si="55"/>
        <v>0</v>
      </c>
      <c r="H937" s="12" cm="1">
        <f t="array" ref="H937">PRODUCT(1+G$2:G937)-1</f>
        <v>0.26874645812601394</v>
      </c>
      <c r="I937">
        <f>H937-MAX(H$2:H937)</f>
        <v>-7.4345975710430334E-3</v>
      </c>
      <c r="L937" s="2">
        <f t="shared" si="57"/>
        <v>0.37338255872153475</v>
      </c>
    </row>
    <row r="938" spans="1:12" x14ac:dyDescent="0.25">
      <c r="A938" s="1">
        <v>45271</v>
      </c>
      <c r="B938">
        <v>459.69000244140602</v>
      </c>
      <c r="C938">
        <v>453.48699951171801</v>
      </c>
      <c r="D938">
        <v>438.04920043945299</v>
      </c>
      <c r="E938" t="str">
        <f t="shared" si="54"/>
        <v>Sell</v>
      </c>
      <c r="F938">
        <f t="shared" si="56"/>
        <v>0</v>
      </c>
      <c r="G938">
        <f t="shared" si="55"/>
        <v>0</v>
      </c>
      <c r="H938" s="12" cm="1">
        <f t="array" ref="H938">PRODUCT(1+G$2:G938)-1</f>
        <v>0.26874645812601394</v>
      </c>
      <c r="I938">
        <f>H938-MAX(H$2:H938)</f>
        <v>-7.4345975710430334E-3</v>
      </c>
      <c r="L938" s="2">
        <f t="shared" si="57"/>
        <v>0.38007747904590822</v>
      </c>
    </row>
    <row r="939" spans="1:12" x14ac:dyDescent="0.25">
      <c r="A939" s="1">
        <v>45272</v>
      </c>
      <c r="B939">
        <v>461.63000488281199</v>
      </c>
      <c r="C939">
        <v>454.60699920654201</v>
      </c>
      <c r="D939">
        <v>438.74940063476498</v>
      </c>
      <c r="E939" t="str">
        <f t="shared" si="54"/>
        <v>Sell</v>
      </c>
      <c r="F939">
        <f t="shared" si="56"/>
        <v>0</v>
      </c>
      <c r="G939">
        <f t="shared" si="55"/>
        <v>0</v>
      </c>
      <c r="H939" s="12" cm="1">
        <f t="array" ref="H939">PRODUCT(1+G$2:G939)-1</f>
        <v>0.26874645812601394</v>
      </c>
      <c r="I939">
        <f>H939-MAX(H$2:H939)</f>
        <v>-7.4345975710430334E-3</v>
      </c>
      <c r="L939" s="2">
        <f t="shared" si="57"/>
        <v>0.3859017381432544</v>
      </c>
    </row>
    <row r="940" spans="1:12" x14ac:dyDescent="0.25">
      <c r="A940" s="1">
        <v>45273</v>
      </c>
      <c r="B940">
        <v>464.489990234375</v>
      </c>
      <c r="C940">
        <v>455.51549835204997</v>
      </c>
      <c r="D940">
        <v>439.538000488281</v>
      </c>
      <c r="E940" t="str">
        <f t="shared" si="54"/>
        <v>Sell</v>
      </c>
      <c r="F940">
        <f t="shared" si="56"/>
        <v>0</v>
      </c>
      <c r="G940">
        <f t="shared" si="55"/>
        <v>0</v>
      </c>
      <c r="H940" s="12" cm="1">
        <f t="array" ref="H940">PRODUCT(1+G$2:G940)-1</f>
        <v>0.26874645812601394</v>
      </c>
      <c r="I940">
        <f>H940-MAX(H$2:H940)</f>
        <v>-7.4345975710430334E-3</v>
      </c>
      <c r="L940" s="2">
        <f t="shared" si="57"/>
        <v>0.39448796223586213</v>
      </c>
    </row>
    <row r="941" spans="1:12" x14ac:dyDescent="0.25">
      <c r="A941" s="1">
        <v>45274</v>
      </c>
      <c r="B941">
        <v>472.5</v>
      </c>
      <c r="C941">
        <v>456.63499908447199</v>
      </c>
      <c r="D941">
        <v>440.54660034179602</v>
      </c>
      <c r="E941" t="str">
        <f t="shared" si="54"/>
        <v>Sell</v>
      </c>
      <c r="F941">
        <f t="shared" si="56"/>
        <v>0</v>
      </c>
      <c r="G941">
        <f t="shared" si="55"/>
        <v>0</v>
      </c>
      <c r="H941" s="12" cm="1">
        <f t="array" ref="H941">PRODUCT(1+G$2:G941)-1</f>
        <v>0.26874645812601394</v>
      </c>
      <c r="I941">
        <f>H941-MAX(H$2:H941)</f>
        <v>-7.4345975710430334E-3</v>
      </c>
      <c r="L941" s="2">
        <f t="shared" si="57"/>
        <v>0.41853554653346908</v>
      </c>
    </row>
    <row r="942" spans="1:12" x14ac:dyDescent="0.25">
      <c r="A942" s="1">
        <v>45275</v>
      </c>
      <c r="B942">
        <v>469.489990234375</v>
      </c>
      <c r="C942">
        <v>457.64849853515602</v>
      </c>
      <c r="D942">
        <v>441.44920043945302</v>
      </c>
      <c r="E942" t="str">
        <f t="shared" si="54"/>
        <v>Sell</v>
      </c>
      <c r="F942">
        <f t="shared" si="56"/>
        <v>0</v>
      </c>
      <c r="G942">
        <f t="shared" si="55"/>
        <v>0</v>
      </c>
      <c r="H942" s="12" cm="1">
        <f t="array" ref="H942">PRODUCT(1+G$2:G942)-1</f>
        <v>0.26874645812601394</v>
      </c>
      <c r="I942">
        <f>H942-MAX(H$2:H942)</f>
        <v>-7.4345975710430334E-3</v>
      </c>
      <c r="L942" s="2">
        <f t="shared" si="57"/>
        <v>0.40949892040023744</v>
      </c>
    </row>
    <row r="943" spans="1:12" x14ac:dyDescent="0.25">
      <c r="A943" s="1">
        <v>45278</v>
      </c>
      <c r="B943">
        <v>470.98001098632801</v>
      </c>
      <c r="C943">
        <v>458.68549957275297</v>
      </c>
      <c r="D943">
        <v>442.42940063476499</v>
      </c>
      <c r="E943" t="str">
        <f t="shared" si="54"/>
        <v>Sell</v>
      </c>
      <c r="F943">
        <f t="shared" si="56"/>
        <v>0</v>
      </c>
      <c r="G943">
        <f t="shared" si="55"/>
        <v>0</v>
      </c>
      <c r="H943" s="12" cm="1">
        <f t="array" ref="H943">PRODUCT(1+G$2:G943)-1</f>
        <v>0.26874645812601394</v>
      </c>
      <c r="I943">
        <f>H943-MAX(H$2:H943)</f>
        <v>-7.4345975710430334E-3</v>
      </c>
      <c r="L943" s="2">
        <f t="shared" si="57"/>
        <v>0.41397224823456097</v>
      </c>
    </row>
    <row r="944" spans="1:12" x14ac:dyDescent="0.25">
      <c r="A944" s="1">
        <v>45279</v>
      </c>
      <c r="B944">
        <v>472.52999877929602</v>
      </c>
      <c r="C944">
        <v>459.785499572753</v>
      </c>
      <c r="D944">
        <v>443.328400878906</v>
      </c>
      <c r="E944" t="str">
        <f t="shared" si="54"/>
        <v>Sell</v>
      </c>
      <c r="F944">
        <f t="shared" si="56"/>
        <v>0</v>
      </c>
      <c r="G944">
        <f t="shared" si="55"/>
        <v>0</v>
      </c>
      <c r="H944" s="12" cm="1">
        <f t="array" ref="H944">PRODUCT(1+G$2:G944)-1</f>
        <v>0.26874645812601394</v>
      </c>
      <c r="I944">
        <f>H944-MAX(H$2:H944)</f>
        <v>-7.4345975710430334E-3</v>
      </c>
      <c r="L944" s="2">
        <f t="shared" si="57"/>
        <v>0.41862560861766807</v>
      </c>
    </row>
    <row r="945" spans="1:12" x14ac:dyDescent="0.25">
      <c r="A945" s="1">
        <v>45280</v>
      </c>
      <c r="B945">
        <v>473.95999145507801</v>
      </c>
      <c r="C945">
        <v>460.82449951171799</v>
      </c>
      <c r="D945">
        <v>444.14880065917902</v>
      </c>
      <c r="E945" t="str">
        <f t="shared" si="54"/>
        <v>Sell</v>
      </c>
      <c r="F945">
        <f t="shared" si="56"/>
        <v>0</v>
      </c>
      <c r="G945">
        <f t="shared" si="55"/>
        <v>0</v>
      </c>
      <c r="H945" s="12" cm="1">
        <f t="array" ref="H945">PRODUCT(1+G$2:G945)-1</f>
        <v>0.26874645812601394</v>
      </c>
      <c r="I945">
        <f>H945-MAX(H$2:H945)</f>
        <v>-7.4345975710430334E-3</v>
      </c>
      <c r="L945" s="2">
        <f t="shared" si="57"/>
        <v>0.42291872066397335</v>
      </c>
    </row>
    <row r="946" spans="1:12" x14ac:dyDescent="0.25">
      <c r="A946" s="1">
        <v>45281</v>
      </c>
      <c r="B946">
        <v>471.329986572265</v>
      </c>
      <c r="C946">
        <v>461.641998291015</v>
      </c>
      <c r="D946">
        <v>444.86260009765601</v>
      </c>
      <c r="E946" t="str">
        <f t="shared" si="54"/>
        <v>Sell</v>
      </c>
      <c r="F946">
        <f t="shared" si="56"/>
        <v>0</v>
      </c>
      <c r="G946">
        <f t="shared" si="55"/>
        <v>0</v>
      </c>
      <c r="H946" s="12" cm="1">
        <f t="array" ref="H946">PRODUCT(1+G$2:G946)-1</f>
        <v>0.26874645812601394</v>
      </c>
      <c r="I946">
        <f>H946-MAX(H$2:H946)</f>
        <v>-7.4345975710430334E-3</v>
      </c>
      <c r="L946" s="2">
        <f t="shared" si="57"/>
        <v>0.41502294201037154</v>
      </c>
    </row>
    <row r="947" spans="1:12" x14ac:dyDescent="0.25">
      <c r="A947" s="1">
        <v>45282</v>
      </c>
      <c r="B947">
        <v>473.85998535156199</v>
      </c>
      <c r="C947">
        <v>462.58149719238202</v>
      </c>
      <c r="D947">
        <v>445.60079956054602</v>
      </c>
      <c r="E947" t="str">
        <f t="shared" si="54"/>
        <v>Sell</v>
      </c>
      <c r="F947">
        <f t="shared" si="56"/>
        <v>0</v>
      </c>
      <c r="G947">
        <f t="shared" si="55"/>
        <v>0</v>
      </c>
      <c r="H947" s="12" cm="1">
        <f t="array" ref="H947">PRODUCT(1+G$2:G947)-1</f>
        <v>0.26874645812601394</v>
      </c>
      <c r="I947">
        <f>H947-MAX(H$2:H947)</f>
        <v>-7.4345975710430334E-3</v>
      </c>
      <c r="L947" s="2">
        <f t="shared" si="57"/>
        <v>0.42261848317676109</v>
      </c>
    </row>
    <row r="948" spans="1:12" x14ac:dyDescent="0.25">
      <c r="A948" s="1">
        <v>45286</v>
      </c>
      <c r="B948">
        <v>474.07000732421801</v>
      </c>
      <c r="C948">
        <v>463.55249786376902</v>
      </c>
      <c r="D948">
        <v>446.37799987792903</v>
      </c>
      <c r="E948" t="str">
        <f t="shared" si="54"/>
        <v>Sell</v>
      </c>
      <c r="F948">
        <f t="shared" si="56"/>
        <v>0</v>
      </c>
      <c r="G948">
        <f t="shared" si="55"/>
        <v>0</v>
      </c>
      <c r="H948" s="12" cm="1">
        <f t="array" ref="H948">PRODUCT(1+G$2:G948)-1</f>
        <v>0.26874645812601394</v>
      </c>
      <c r="I948">
        <f>H948-MAX(H$2:H948)</f>
        <v>-7.4345975710430334E-3</v>
      </c>
      <c r="L948" s="2">
        <f t="shared" si="57"/>
        <v>0.42324900938578897</v>
      </c>
    </row>
    <row r="949" spans="1:12" x14ac:dyDescent="0.25">
      <c r="A949" s="1">
        <v>45287</v>
      </c>
      <c r="B949">
        <v>475.44000244140602</v>
      </c>
      <c r="C949">
        <v>464.62049865722599</v>
      </c>
      <c r="D949">
        <v>447.21039978027301</v>
      </c>
      <c r="E949" t="str">
        <f t="shared" si="54"/>
        <v>Sell</v>
      </c>
      <c r="F949">
        <f t="shared" si="56"/>
        <v>0</v>
      </c>
      <c r="G949">
        <f t="shared" si="55"/>
        <v>0</v>
      </c>
      <c r="H949" s="12" cm="1">
        <f t="array" ref="H949">PRODUCT(1+G$2:G949)-1</f>
        <v>0.26874645812601394</v>
      </c>
      <c r="I949">
        <f>H949-MAX(H$2:H949)</f>
        <v>-7.4345975710430334E-3</v>
      </c>
      <c r="L949" s="2">
        <f t="shared" si="57"/>
        <v>0.42736199726369051</v>
      </c>
    </row>
    <row r="950" spans="1:12" x14ac:dyDescent="0.25">
      <c r="A950" s="1">
        <v>45288</v>
      </c>
      <c r="B950">
        <v>476.88000488281199</v>
      </c>
      <c r="C950">
        <v>465.60699920654201</v>
      </c>
      <c r="D950">
        <v>448.09179992675701</v>
      </c>
      <c r="E950" t="str">
        <f t="shared" si="54"/>
        <v>Sell</v>
      </c>
      <c r="F950">
        <f t="shared" si="56"/>
        <v>0</v>
      </c>
      <c r="G950">
        <f t="shared" si="55"/>
        <v>0</v>
      </c>
      <c r="H950" s="12" cm="1">
        <f t="array" ref="H950">PRODUCT(1+G$2:G950)-1</f>
        <v>0.26874645812601394</v>
      </c>
      <c r="I950">
        <f>H950-MAX(H$2:H950)</f>
        <v>-7.4345975710430334E-3</v>
      </c>
      <c r="L950" s="2">
        <f t="shared" si="57"/>
        <v>0.43168516054459916</v>
      </c>
    </row>
    <row r="951" spans="1:12" x14ac:dyDescent="0.25">
      <c r="A951" s="1">
        <v>45289</v>
      </c>
      <c r="B951">
        <v>476.489990234375</v>
      </c>
      <c r="C951">
        <v>466.65749816894498</v>
      </c>
      <c r="D951">
        <v>448.93779968261703</v>
      </c>
      <c r="E951" t="str">
        <f t="shared" si="54"/>
        <v>Sell</v>
      </c>
      <c r="F951">
        <f t="shared" si="56"/>
        <v>0</v>
      </c>
      <c r="G951">
        <f t="shared" si="55"/>
        <v>0</v>
      </c>
      <c r="H951" s="12" cm="1">
        <f t="array" ref="H951">PRODUCT(1+G$2:G951)-1</f>
        <v>0.26874645812601394</v>
      </c>
      <c r="I951">
        <f>H951-MAX(H$2:H951)</f>
        <v>-7.4345975710430334E-3</v>
      </c>
      <c r="L951" s="2">
        <f t="shared" si="57"/>
        <v>0.4305142618303629</v>
      </c>
    </row>
    <row r="952" spans="1:12" x14ac:dyDescent="0.25">
      <c r="A952" s="1">
        <v>45293</v>
      </c>
      <c r="B952">
        <v>472.16000366210898</v>
      </c>
      <c r="C952">
        <v>467.47699890136698</v>
      </c>
      <c r="D952">
        <v>449.76199951171799</v>
      </c>
      <c r="E952" t="str">
        <f t="shared" si="54"/>
        <v>Sell</v>
      </c>
      <c r="F952">
        <f t="shared" si="56"/>
        <v>0</v>
      </c>
      <c r="G952">
        <f t="shared" si="55"/>
        <v>0</v>
      </c>
      <c r="H952" s="12" cm="1">
        <f t="array" ref="H952">PRODUCT(1+G$2:G952)-1</f>
        <v>0.26874645812601394</v>
      </c>
      <c r="I952">
        <f>H952-MAX(H$2:H952)</f>
        <v>-7.4345975710430334E-3</v>
      </c>
      <c r="L952" s="2">
        <f t="shared" si="57"/>
        <v>0.41751481237264448</v>
      </c>
    </row>
    <row r="953" spans="1:12" x14ac:dyDescent="0.25">
      <c r="A953" s="1">
        <v>45294</v>
      </c>
      <c r="B953">
        <v>470.42999267578102</v>
      </c>
      <c r="C953">
        <v>468.21849822998001</v>
      </c>
      <c r="D953">
        <v>450.650999145507</v>
      </c>
      <c r="E953" t="str">
        <f t="shared" si="54"/>
        <v>Sell</v>
      </c>
      <c r="F953">
        <f t="shared" si="56"/>
        <v>0</v>
      </c>
      <c r="G953">
        <f t="shared" si="55"/>
        <v>0</v>
      </c>
      <c r="H953" s="12" cm="1">
        <f t="array" ref="H953">PRODUCT(1+G$2:G953)-1</f>
        <v>0.26874645812601394</v>
      </c>
      <c r="I953">
        <f>H953-MAX(H$2:H953)</f>
        <v>-7.4345975710430334E-3</v>
      </c>
      <c r="L953" s="2">
        <f t="shared" si="57"/>
        <v>0.41232098786470872</v>
      </c>
    </row>
    <row r="954" spans="1:12" x14ac:dyDescent="0.25">
      <c r="A954" s="1">
        <v>45295</v>
      </c>
      <c r="B954">
        <v>468.29998779296801</v>
      </c>
      <c r="C954">
        <v>468.87049713134701</v>
      </c>
      <c r="D954">
        <v>451.62479919433503</v>
      </c>
      <c r="E954" t="str">
        <f t="shared" si="54"/>
        <v>Sell</v>
      </c>
      <c r="F954">
        <f t="shared" si="56"/>
        <v>0</v>
      </c>
      <c r="G954">
        <f t="shared" si="55"/>
        <v>0</v>
      </c>
      <c r="H954" s="12" cm="1">
        <f t="array" ref="H954">PRODUCT(1+G$2:G954)-1</f>
        <v>0.26874645812601394</v>
      </c>
      <c r="I954">
        <f>H954-MAX(H$2:H954)</f>
        <v>-7.4345975710430334E-3</v>
      </c>
      <c r="L954" s="2">
        <f t="shared" si="57"/>
        <v>0.40592630502754451</v>
      </c>
    </row>
    <row r="955" spans="1:12" x14ac:dyDescent="0.25">
      <c r="A955" s="1">
        <v>45296</v>
      </c>
      <c r="B955">
        <v>467.489990234375</v>
      </c>
      <c r="C955">
        <v>469.30449676513598</v>
      </c>
      <c r="D955">
        <v>452.521599121093</v>
      </c>
      <c r="E955" t="str">
        <f t="shared" si="54"/>
        <v>Sell</v>
      </c>
      <c r="F955">
        <f t="shared" si="56"/>
        <v>0</v>
      </c>
      <c r="G955">
        <f t="shared" si="55"/>
        <v>0</v>
      </c>
      <c r="H955" s="12" cm="1">
        <f t="array" ref="H955">PRODUCT(1+G$2:G955)-1</f>
        <v>0.26874645812601394</v>
      </c>
      <c r="I955">
        <f>H955-MAX(H$2:H955)</f>
        <v>-7.4345975710430334E-3</v>
      </c>
      <c r="L955" s="2">
        <f t="shared" si="57"/>
        <v>0.4034945371344873</v>
      </c>
    </row>
    <row r="956" spans="1:12" x14ac:dyDescent="0.25">
      <c r="A956" s="1">
        <v>45299</v>
      </c>
      <c r="B956">
        <v>468.42999267578102</v>
      </c>
      <c r="C956">
        <v>469.88049621582002</v>
      </c>
      <c r="D956">
        <v>453.45239868163998</v>
      </c>
      <c r="E956" t="str">
        <f t="shared" si="54"/>
        <v>Sell</v>
      </c>
      <c r="F956">
        <f t="shared" si="56"/>
        <v>0</v>
      </c>
      <c r="G956">
        <f t="shared" si="55"/>
        <v>0</v>
      </c>
      <c r="H956" s="12" cm="1">
        <f t="array" ref="H956">PRODUCT(1+G$2:G956)-1</f>
        <v>0.26874645812601394</v>
      </c>
      <c r="I956">
        <f>H956-MAX(H$2:H956)</f>
        <v>-7.4345975710430334E-3</v>
      </c>
      <c r="L956" s="2">
        <f t="shared" si="57"/>
        <v>0.40631660459895863</v>
      </c>
    </row>
    <row r="957" spans="1:12" x14ac:dyDescent="0.25">
      <c r="A957" s="1">
        <v>45300</v>
      </c>
      <c r="B957">
        <v>471.86999511718699</v>
      </c>
      <c r="C957">
        <v>470.60099639892502</v>
      </c>
      <c r="D957">
        <v>454.56079833984302</v>
      </c>
      <c r="E957" t="str">
        <f t="shared" si="54"/>
        <v>Sell</v>
      </c>
      <c r="F957">
        <f t="shared" si="56"/>
        <v>0</v>
      </c>
      <c r="G957">
        <f t="shared" si="55"/>
        <v>0</v>
      </c>
      <c r="H957" s="12" cm="1">
        <f t="array" ref="H957">PRODUCT(1+G$2:G957)-1</f>
        <v>0.26874645812601394</v>
      </c>
      <c r="I957">
        <f>H957-MAX(H$2:H957)</f>
        <v>-7.4345975710430334E-3</v>
      </c>
      <c r="L957" s="2">
        <f t="shared" si="57"/>
        <v>0.41664415114561743</v>
      </c>
    </row>
    <row r="958" spans="1:12" x14ac:dyDescent="0.25">
      <c r="A958" s="1">
        <v>45301</v>
      </c>
      <c r="B958">
        <v>474.16000366210898</v>
      </c>
      <c r="C958">
        <v>471.32449645996002</v>
      </c>
      <c r="D958">
        <v>455.76019836425701</v>
      </c>
      <c r="E958" t="str">
        <f t="shared" si="54"/>
        <v>Sell</v>
      </c>
      <c r="F958">
        <f t="shared" si="56"/>
        <v>0</v>
      </c>
      <c r="G958">
        <f t="shared" si="55"/>
        <v>0</v>
      </c>
      <c r="H958" s="12" cm="1">
        <f t="array" ref="H958">PRODUCT(1+G$2:G958)-1</f>
        <v>0.26874645812601394</v>
      </c>
      <c r="I958">
        <f>H958-MAX(H$2:H958)</f>
        <v>-7.4345975710430334E-3</v>
      </c>
      <c r="L958" s="2">
        <f t="shared" si="57"/>
        <v>0.42351919563839463</v>
      </c>
    </row>
    <row r="959" spans="1:12" x14ac:dyDescent="0.25">
      <c r="A959" s="1">
        <v>45302</v>
      </c>
      <c r="B959">
        <v>477.58999633789</v>
      </c>
      <c r="C959">
        <v>472.12249603271403</v>
      </c>
      <c r="D959">
        <v>457.04079833984298</v>
      </c>
      <c r="E959" t="str">
        <f t="shared" si="54"/>
        <v>Sell</v>
      </c>
      <c r="F959">
        <f t="shared" si="56"/>
        <v>0</v>
      </c>
      <c r="G959">
        <f t="shared" si="55"/>
        <v>0</v>
      </c>
      <c r="H959" s="12" cm="1">
        <f t="array" ref="H959">PRODUCT(1+G$2:G959)-1</f>
        <v>0.26874645812601394</v>
      </c>
      <c r="I959">
        <f>H959-MAX(H$2:H959)</f>
        <v>-7.4345975710430334E-3</v>
      </c>
      <c r="L959" s="2">
        <f t="shared" si="57"/>
        <v>0.43381669095044717</v>
      </c>
    </row>
    <row r="960" spans="1:12" x14ac:dyDescent="0.25">
      <c r="A960" s="1">
        <v>45303</v>
      </c>
      <c r="B960">
        <v>477.83999633789</v>
      </c>
      <c r="C960">
        <v>472.78999633788999</v>
      </c>
      <c r="D960">
        <v>458.273998413085</v>
      </c>
      <c r="E960" t="str">
        <f t="shared" si="54"/>
        <v>Sell</v>
      </c>
      <c r="F960">
        <f t="shared" si="56"/>
        <v>0</v>
      </c>
      <c r="G960">
        <f t="shared" si="55"/>
        <v>0</v>
      </c>
      <c r="H960" s="12" cm="1">
        <f t="array" ref="H960">PRODUCT(1+G$2:G960)-1</f>
        <v>0.26874645812601394</v>
      </c>
      <c r="I960">
        <f>H960-MAX(H$2:H960)</f>
        <v>-7.4345975710430334E-3</v>
      </c>
      <c r="L960" s="2">
        <f t="shared" si="57"/>
        <v>0.43456723885866594</v>
      </c>
    </row>
    <row r="961" spans="1:12" x14ac:dyDescent="0.25">
      <c r="A961" s="1">
        <v>45307</v>
      </c>
      <c r="B961">
        <v>475.260009765625</v>
      </c>
      <c r="C961">
        <v>472.92799682617101</v>
      </c>
      <c r="D961">
        <v>459.395198364257</v>
      </c>
      <c r="E961" t="str">
        <f t="shared" si="54"/>
        <v>Sell</v>
      </c>
      <c r="F961">
        <f t="shared" si="56"/>
        <v>0</v>
      </c>
      <c r="G961">
        <f t="shared" si="55"/>
        <v>0</v>
      </c>
      <c r="H961" s="12" cm="1">
        <f t="array" ref="H961">PRODUCT(1+G$2:G961)-1</f>
        <v>0.26874645812601394</v>
      </c>
      <c r="I961">
        <f>H961-MAX(H$2:H961)</f>
        <v>-7.4345975710430334E-3</v>
      </c>
      <c r="L961" s="2">
        <f t="shared" si="57"/>
        <v>0.4268216247584819</v>
      </c>
    </row>
    <row r="962" spans="1:12" x14ac:dyDescent="0.25">
      <c r="A962" s="1">
        <v>45308</v>
      </c>
      <c r="B962">
        <v>471.82000732421801</v>
      </c>
      <c r="C962">
        <v>473.04449768066399</v>
      </c>
      <c r="D962">
        <v>460.299998779296</v>
      </c>
      <c r="E962" t="str">
        <f t="shared" si="54"/>
        <v>Sell</v>
      </c>
      <c r="F962">
        <f t="shared" si="56"/>
        <v>0</v>
      </c>
      <c r="G962">
        <f t="shared" si="55"/>
        <v>0</v>
      </c>
      <c r="H962" s="12" cm="1">
        <f t="array" ref="H962">PRODUCT(1+G$2:G962)-1</f>
        <v>0.26874645812601394</v>
      </c>
      <c r="I962">
        <f>H962-MAX(H$2:H962)</f>
        <v>-7.4345975710430334E-3</v>
      </c>
      <c r="L962" s="2">
        <f t="shared" si="57"/>
        <v>0.41649407821182005</v>
      </c>
    </row>
    <row r="963" spans="1:12" x14ac:dyDescent="0.25">
      <c r="A963" s="1">
        <v>45309</v>
      </c>
      <c r="B963">
        <v>474.010009765625</v>
      </c>
      <c r="C963">
        <v>473.19599761962797</v>
      </c>
      <c r="D963">
        <v>461.11739868164</v>
      </c>
      <c r="E963" t="str">
        <f t="shared" ref="E963:E1026" si="58">IF(OR(ISBLANK(C963),ISBLANK(D963),ISBLANK(C964),ISBLANK(D964)), "Hold", IF(AND(C963&gt;C964,C964&lt;=D964), "Buy", IF(AND(C963&lt;C964,C964&gt;=D964), "Sell", "Hold")))</f>
        <v>Sell</v>
      </c>
      <c r="F963">
        <f t="shared" si="56"/>
        <v>0</v>
      </c>
      <c r="G963">
        <f t="shared" ref="G963:G1026" si="59">IF(F963=1,(B964-B963)/B963,0)</f>
        <v>0</v>
      </c>
      <c r="H963" s="12" cm="1">
        <f t="array" ref="H963">PRODUCT(1+G$2:G963)-1</f>
        <v>0.26874645812601394</v>
      </c>
      <c r="I963">
        <f>H963-MAX(H$2:H963)</f>
        <v>-7.4345975710430334E-3</v>
      </c>
      <c r="L963" s="2">
        <f t="shared" si="57"/>
        <v>0.42306888521738806</v>
      </c>
    </row>
    <row r="964" spans="1:12" x14ac:dyDescent="0.25">
      <c r="A964" s="1">
        <v>45310</v>
      </c>
      <c r="B964">
        <v>477.64999389648398</v>
      </c>
      <c r="C964">
        <v>473.45199737548802</v>
      </c>
      <c r="D964">
        <v>461.96099853515602</v>
      </c>
      <c r="E964" t="str">
        <f t="shared" si="58"/>
        <v>Sell</v>
      </c>
      <c r="F964">
        <f t="shared" ref="F964:F1027" si="60">IF(E964="Buy",1, IF(E964="Sell",0,F963))</f>
        <v>0</v>
      </c>
      <c r="G964">
        <f t="shared" si="59"/>
        <v>0</v>
      </c>
      <c r="H964" s="12" cm="1">
        <f t="array" ref="H964">PRODUCT(1+G$2:G964)-1</f>
        <v>0.26874645812601394</v>
      </c>
      <c r="I964">
        <f>H964-MAX(H$2:H964)</f>
        <v>-7.4345975710430334E-3</v>
      </c>
      <c r="L964" s="2">
        <f t="shared" si="57"/>
        <v>0.43399681511885091</v>
      </c>
    </row>
    <row r="965" spans="1:12" x14ac:dyDescent="0.25">
      <c r="A965" s="1">
        <v>45313</v>
      </c>
      <c r="B965">
        <v>484.010009765625</v>
      </c>
      <c r="C965">
        <v>473.954498291015</v>
      </c>
      <c r="D965">
        <v>462.92739868164</v>
      </c>
      <c r="E965" t="str">
        <f t="shared" si="58"/>
        <v>Sell</v>
      </c>
      <c r="F965">
        <f t="shared" si="60"/>
        <v>0</v>
      </c>
      <c r="G965">
        <f t="shared" si="59"/>
        <v>0</v>
      </c>
      <c r="H965" s="12" cm="1">
        <f t="array" ref="H965">PRODUCT(1+G$2:G965)-1</f>
        <v>0.26874645812601394</v>
      </c>
      <c r="I965">
        <f>H965-MAX(H$2:H965)</f>
        <v>-7.4345975710430334E-3</v>
      </c>
      <c r="L965" s="2">
        <f t="shared" si="57"/>
        <v>0.45309080154613873</v>
      </c>
    </row>
    <row r="966" spans="1:12" x14ac:dyDescent="0.25">
      <c r="A966" s="1">
        <v>45314</v>
      </c>
      <c r="B966">
        <v>484.010009765625</v>
      </c>
      <c r="C966">
        <v>474.588499450683</v>
      </c>
      <c r="D966">
        <v>463.85659912109298</v>
      </c>
      <c r="E966" t="str">
        <f t="shared" si="58"/>
        <v>Sell</v>
      </c>
      <c r="F966">
        <f t="shared" si="60"/>
        <v>0</v>
      </c>
      <c r="G966">
        <f t="shared" si="59"/>
        <v>0</v>
      </c>
      <c r="H966" s="12" cm="1">
        <f t="array" ref="H966">PRODUCT(1+G$2:G966)-1</f>
        <v>0.26874645812601394</v>
      </c>
      <c r="I966">
        <f>H966-MAX(H$2:H966)</f>
        <v>-7.4345975710430334E-3</v>
      </c>
      <c r="L966" s="2">
        <f t="shared" si="57"/>
        <v>0.45309080154613873</v>
      </c>
    </row>
    <row r="967" spans="1:12" x14ac:dyDescent="0.25">
      <c r="A967" s="1">
        <v>45315</v>
      </c>
      <c r="B967">
        <v>487.80999755859301</v>
      </c>
      <c r="C967">
        <v>475.286000061035</v>
      </c>
      <c r="D967">
        <v>464.844199218749</v>
      </c>
      <c r="E967" t="str">
        <f t="shared" si="58"/>
        <v>Sell</v>
      </c>
      <c r="F967">
        <f t="shared" si="60"/>
        <v>0</v>
      </c>
      <c r="G967">
        <f t="shared" si="59"/>
        <v>0</v>
      </c>
      <c r="H967" s="12" cm="1">
        <f t="array" ref="H967">PRODUCT(1+G$2:G967)-1</f>
        <v>0.26874645812601394</v>
      </c>
      <c r="I967">
        <f>H967-MAX(H$2:H967)</f>
        <v>-7.4345975710430334E-3</v>
      </c>
      <c r="L967" s="2">
        <f t="shared" ref="L967:L1030" si="61">(B967-B$134)/B$134</f>
        <v>0.46449909310321469</v>
      </c>
    </row>
    <row r="968" spans="1:12" x14ac:dyDescent="0.25">
      <c r="A968" s="1">
        <v>45316</v>
      </c>
      <c r="B968">
        <v>487.579986572265</v>
      </c>
      <c r="C968">
        <v>475.961499023437</v>
      </c>
      <c r="D968">
        <v>465.87619873046799</v>
      </c>
      <c r="E968" t="str">
        <f t="shared" si="58"/>
        <v>Sell</v>
      </c>
      <c r="F968">
        <f t="shared" si="60"/>
        <v>0</v>
      </c>
      <c r="G968">
        <f t="shared" si="59"/>
        <v>0</v>
      </c>
      <c r="H968" s="12" cm="1">
        <f t="array" ref="H968">PRODUCT(1+G$2:G968)-1</f>
        <v>0.26874645812601394</v>
      </c>
      <c r="I968">
        <f>H968-MAX(H$2:H968)</f>
        <v>-7.4345975710430334E-3</v>
      </c>
      <c r="L968" s="2">
        <f t="shared" si="61"/>
        <v>0.46380855604459142</v>
      </c>
    </row>
    <row r="969" spans="1:12" x14ac:dyDescent="0.25">
      <c r="A969" s="1">
        <v>45317</v>
      </c>
      <c r="B969">
        <v>487.58999633789</v>
      </c>
      <c r="C969">
        <v>476.56899871826101</v>
      </c>
      <c r="D969">
        <v>466.84339843749899</v>
      </c>
      <c r="E969" t="str">
        <f t="shared" si="58"/>
        <v>Sell</v>
      </c>
      <c r="F969">
        <f t="shared" si="60"/>
        <v>0</v>
      </c>
      <c r="G969">
        <f t="shared" si="59"/>
        <v>0</v>
      </c>
      <c r="H969" s="12" cm="1">
        <f t="array" ref="H969">PRODUCT(1+G$2:G969)-1</f>
        <v>0.26874645812601394</v>
      </c>
      <c r="I969">
        <f>H969-MAX(H$2:H969)</f>
        <v>-7.4345975710430334E-3</v>
      </c>
      <c r="L969" s="2">
        <f t="shared" si="61"/>
        <v>0.46383860727919785</v>
      </c>
    </row>
    <row r="970" spans="1:12" x14ac:dyDescent="0.25">
      <c r="A970" s="1">
        <v>45320</v>
      </c>
      <c r="B970">
        <v>487.73001098632801</v>
      </c>
      <c r="C970">
        <v>477.11149902343698</v>
      </c>
      <c r="D970">
        <v>467.671598510742</v>
      </c>
      <c r="E970" t="str">
        <f t="shared" si="58"/>
        <v>Sell</v>
      </c>
      <c r="F970">
        <f t="shared" si="60"/>
        <v>0</v>
      </c>
      <c r="G970">
        <f t="shared" si="59"/>
        <v>0</v>
      </c>
      <c r="H970" s="12" cm="1">
        <f t="array" ref="H970">PRODUCT(1+G$2:G970)-1</f>
        <v>0.26874645812601394</v>
      </c>
      <c r="I970">
        <f>H970-MAX(H$2:H970)</f>
        <v>-7.4345975710430334E-3</v>
      </c>
      <c r="L970" s="2">
        <f t="shared" si="61"/>
        <v>0.46425895808521839</v>
      </c>
    </row>
    <row r="971" spans="1:12" x14ac:dyDescent="0.25">
      <c r="A971" s="1">
        <v>45321</v>
      </c>
      <c r="B971">
        <v>490.55999755859301</v>
      </c>
      <c r="C971">
        <v>477.81499938964799</v>
      </c>
      <c r="D971">
        <v>468.48059875488201</v>
      </c>
      <c r="E971" t="str">
        <f t="shared" si="58"/>
        <v>Sell</v>
      </c>
      <c r="F971">
        <f t="shared" si="60"/>
        <v>0</v>
      </c>
      <c r="G971">
        <f t="shared" si="59"/>
        <v>0</v>
      </c>
      <c r="H971" s="12" cm="1">
        <f t="array" ref="H971">PRODUCT(1+G$2:G971)-1</f>
        <v>0.26874645812601394</v>
      </c>
      <c r="I971">
        <f>H971-MAX(H$2:H971)</f>
        <v>-7.4345975710430334E-3</v>
      </c>
      <c r="L971" s="2">
        <f t="shared" si="61"/>
        <v>0.47275512009362114</v>
      </c>
    </row>
    <row r="972" spans="1:12" x14ac:dyDescent="0.25">
      <c r="A972" s="1">
        <v>45322</v>
      </c>
      <c r="B972">
        <v>488.61999511718699</v>
      </c>
      <c r="C972">
        <v>478.63799896240198</v>
      </c>
      <c r="D972">
        <v>469.26859863281197</v>
      </c>
      <c r="E972" t="str">
        <f t="shared" si="58"/>
        <v>Sell</v>
      </c>
      <c r="F972">
        <f t="shared" si="60"/>
        <v>0</v>
      </c>
      <c r="G972">
        <f t="shared" si="59"/>
        <v>0</v>
      </c>
      <c r="H972" s="12" cm="1">
        <f t="array" ref="H972">PRODUCT(1+G$2:G972)-1</f>
        <v>0.26874645812601394</v>
      </c>
      <c r="I972">
        <f>H972-MAX(H$2:H972)</f>
        <v>-7.4345975710430334E-3</v>
      </c>
      <c r="L972" s="2">
        <f t="shared" si="61"/>
        <v>0.46693086099627479</v>
      </c>
    </row>
    <row r="973" spans="1:12" x14ac:dyDescent="0.25">
      <c r="A973" s="1">
        <v>45323</v>
      </c>
      <c r="B973">
        <v>484.63000488281199</v>
      </c>
      <c r="C973">
        <v>479.347999572753</v>
      </c>
      <c r="D973">
        <v>469.956398925781</v>
      </c>
      <c r="E973" t="str">
        <f t="shared" si="58"/>
        <v>Sell</v>
      </c>
      <c r="F973">
        <f t="shared" si="60"/>
        <v>0</v>
      </c>
      <c r="G973">
        <f t="shared" si="59"/>
        <v>0</v>
      </c>
      <c r="H973" s="12" cm="1">
        <f t="array" ref="H973">PRODUCT(1+G$2:G973)-1</f>
        <v>0.26874645812601394</v>
      </c>
      <c r="I973">
        <f>H973-MAX(H$2:H973)</f>
        <v>-7.4345975710430334E-3</v>
      </c>
      <c r="L973" s="2">
        <f t="shared" si="61"/>
        <v>0.45495214569938092</v>
      </c>
    </row>
    <row r="974" spans="1:12" x14ac:dyDescent="0.25">
      <c r="A974" s="1">
        <v>45324</v>
      </c>
      <c r="B974">
        <v>489.64999389648398</v>
      </c>
      <c r="C974">
        <v>480.41549987792899</v>
      </c>
      <c r="D974">
        <v>470.738798828124</v>
      </c>
      <c r="E974" t="str">
        <f t="shared" si="58"/>
        <v>Sell</v>
      </c>
      <c r="F974">
        <f t="shared" si="60"/>
        <v>0</v>
      </c>
      <c r="G974">
        <f t="shared" si="59"/>
        <v>0</v>
      </c>
      <c r="H974" s="12" cm="1">
        <f t="array" ref="H974">PRODUCT(1+G$2:G974)-1</f>
        <v>0.26874645812601394</v>
      </c>
      <c r="I974">
        <f>H974-MAX(H$2:H974)</f>
        <v>-7.4345975710430334E-3</v>
      </c>
      <c r="L974" s="2">
        <f t="shared" si="61"/>
        <v>0.47002311471335173</v>
      </c>
    </row>
    <row r="975" spans="1:12" x14ac:dyDescent="0.25">
      <c r="A975" s="1">
        <v>45327</v>
      </c>
      <c r="B975">
        <v>493.70001220703102</v>
      </c>
      <c r="C975">
        <v>481.72600097656198</v>
      </c>
      <c r="D975">
        <v>471.54919921874898</v>
      </c>
      <c r="E975" t="str">
        <f t="shared" si="58"/>
        <v>Sell</v>
      </c>
      <c r="F975">
        <f t="shared" si="60"/>
        <v>0</v>
      </c>
      <c r="G975">
        <f t="shared" si="59"/>
        <v>0</v>
      </c>
      <c r="H975" s="12" cm="1">
        <f t="array" ref="H975">PRODUCT(1+G$2:G975)-1</f>
        <v>0.26874645812601394</v>
      </c>
      <c r="I975">
        <f>H975-MAX(H$2:H975)</f>
        <v>-7.4345975710430334E-3</v>
      </c>
      <c r="L975" s="2">
        <f t="shared" si="61"/>
        <v>0.4821820457982669</v>
      </c>
    </row>
    <row r="976" spans="1:12" x14ac:dyDescent="0.25">
      <c r="A976" s="1">
        <v>45328</v>
      </c>
      <c r="B976">
        <v>493.51998901367102</v>
      </c>
      <c r="C976">
        <v>482.980500793457</v>
      </c>
      <c r="D976">
        <v>472.31999877929599</v>
      </c>
      <c r="E976" t="str">
        <f t="shared" si="58"/>
        <v>Sell</v>
      </c>
      <c r="F976">
        <f t="shared" si="60"/>
        <v>0</v>
      </c>
      <c r="G976">
        <f t="shared" si="59"/>
        <v>0</v>
      </c>
      <c r="H976" s="12" cm="1">
        <f t="array" ref="H976">PRODUCT(1+G$2:G976)-1</f>
        <v>0.26874645812601394</v>
      </c>
      <c r="I976">
        <f>H976-MAX(H$2:H976)</f>
        <v>-7.4345975710430334E-3</v>
      </c>
      <c r="L976" s="2">
        <f t="shared" si="61"/>
        <v>0.48164158167343801</v>
      </c>
    </row>
    <row r="977" spans="1:12" x14ac:dyDescent="0.25">
      <c r="A977" s="1">
        <v>45329</v>
      </c>
      <c r="B977">
        <v>496.29000854492102</v>
      </c>
      <c r="C977">
        <v>484.20150146484298</v>
      </c>
      <c r="D977">
        <v>473.14439880370998</v>
      </c>
      <c r="E977" t="str">
        <f t="shared" si="58"/>
        <v>Sell</v>
      </c>
      <c r="F977">
        <f t="shared" si="60"/>
        <v>0</v>
      </c>
      <c r="G977">
        <f t="shared" si="59"/>
        <v>0</v>
      </c>
      <c r="H977" s="12" cm="1">
        <f t="array" ref="H977">PRODUCT(1+G$2:G977)-1</f>
        <v>0.26874645812601394</v>
      </c>
      <c r="I977">
        <f>H977-MAX(H$2:H977)</f>
        <v>-7.4345975710430334E-3</v>
      </c>
      <c r="L977" s="2">
        <f t="shared" si="61"/>
        <v>0.48995771113305731</v>
      </c>
    </row>
    <row r="978" spans="1:12" x14ac:dyDescent="0.25">
      <c r="A978" s="1">
        <v>45330</v>
      </c>
      <c r="B978">
        <v>498.100006103515</v>
      </c>
      <c r="C978">
        <v>485.39850158691399</v>
      </c>
      <c r="D978">
        <v>474.01339904785101</v>
      </c>
      <c r="E978" t="str">
        <f t="shared" si="58"/>
        <v>Sell</v>
      </c>
      <c r="F978">
        <f t="shared" si="60"/>
        <v>0</v>
      </c>
      <c r="G978">
        <f t="shared" si="59"/>
        <v>0</v>
      </c>
      <c r="H978" s="12" cm="1">
        <f t="array" ref="H978">PRODUCT(1+G$2:G978)-1</f>
        <v>0.26874645812601394</v>
      </c>
      <c r="I978">
        <f>H978-MAX(H$2:H978)</f>
        <v>-7.4345975710430334E-3</v>
      </c>
      <c r="L978" s="2">
        <f t="shared" si="61"/>
        <v>0.49539167065899242</v>
      </c>
    </row>
    <row r="979" spans="1:12" x14ac:dyDescent="0.25">
      <c r="A979" s="1">
        <v>45331</v>
      </c>
      <c r="B979">
        <v>498.83999633789</v>
      </c>
      <c r="C979">
        <v>486.46100158691399</v>
      </c>
      <c r="D979">
        <v>474.90859924316402</v>
      </c>
      <c r="E979" t="str">
        <f t="shared" si="58"/>
        <v>Sell</v>
      </c>
      <c r="F979">
        <f t="shared" si="60"/>
        <v>0</v>
      </c>
      <c r="G979">
        <f t="shared" si="59"/>
        <v>0</v>
      </c>
      <c r="H979" s="12" cm="1">
        <f t="array" ref="H979">PRODUCT(1+G$2:G979)-1</f>
        <v>0.26874645812601394</v>
      </c>
      <c r="I979">
        <f>H979-MAX(H$2:H979)</f>
        <v>-7.4345975710430334E-3</v>
      </c>
      <c r="L979" s="2">
        <f t="shared" si="61"/>
        <v>0.49761326314904231</v>
      </c>
    </row>
    <row r="980" spans="1:12" x14ac:dyDescent="0.25">
      <c r="A980" s="1">
        <v>45334</v>
      </c>
      <c r="B980">
        <v>501.17001342773398</v>
      </c>
      <c r="C980">
        <v>487.62750244140602</v>
      </c>
      <c r="D980">
        <v>475.78899963378899</v>
      </c>
      <c r="E980" t="str">
        <f t="shared" si="58"/>
        <v>Sell</v>
      </c>
      <c r="F980">
        <f t="shared" si="60"/>
        <v>0</v>
      </c>
      <c r="G980">
        <f t="shared" si="59"/>
        <v>0</v>
      </c>
      <c r="H980" s="12" cm="1">
        <f t="array" ref="H980">PRODUCT(1+G$2:G980)-1</f>
        <v>0.26874645812601394</v>
      </c>
      <c r="I980">
        <f>H980-MAX(H$2:H980)</f>
        <v>-7.4345975710430334E-3</v>
      </c>
      <c r="L980" s="2">
        <f t="shared" si="61"/>
        <v>0.50460842096062786</v>
      </c>
    </row>
    <row r="981" spans="1:12" x14ac:dyDescent="0.25">
      <c r="A981" s="1">
        <v>45335</v>
      </c>
      <c r="B981">
        <v>494.52999877929602</v>
      </c>
      <c r="C981">
        <v>488.59100189208903</v>
      </c>
      <c r="D981">
        <v>476.56999938964799</v>
      </c>
      <c r="E981" t="str">
        <f t="shared" si="58"/>
        <v>Sell</v>
      </c>
      <c r="F981">
        <f t="shared" si="60"/>
        <v>0</v>
      </c>
      <c r="G981">
        <f t="shared" si="59"/>
        <v>0</v>
      </c>
      <c r="H981" s="12" cm="1">
        <f t="array" ref="H981">PRODUCT(1+G$2:G981)-1</f>
        <v>0.26874645812601394</v>
      </c>
      <c r="I981">
        <f>H981-MAX(H$2:H981)</f>
        <v>-7.4345975710430334E-3</v>
      </c>
      <c r="L981" s="2">
        <f t="shared" si="61"/>
        <v>0.48467382454091951</v>
      </c>
    </row>
    <row r="982" spans="1:12" x14ac:dyDescent="0.25">
      <c r="A982" s="1">
        <v>45336</v>
      </c>
      <c r="B982">
        <v>496.79000854492102</v>
      </c>
      <c r="C982">
        <v>489.83950195312502</v>
      </c>
      <c r="D982">
        <v>477.39039978027301</v>
      </c>
      <c r="E982" t="str">
        <f t="shared" si="58"/>
        <v>Sell</v>
      </c>
      <c r="F982">
        <f t="shared" si="60"/>
        <v>0</v>
      </c>
      <c r="G982">
        <f t="shared" si="59"/>
        <v>0</v>
      </c>
      <c r="H982" s="12" cm="1">
        <f t="array" ref="H982">PRODUCT(1+G$2:G982)-1</f>
        <v>0.26874645812601394</v>
      </c>
      <c r="I982">
        <f>H982-MAX(H$2:H982)</f>
        <v>-7.4345975710430334E-3</v>
      </c>
      <c r="L982" s="2">
        <f t="shared" si="61"/>
        <v>0.49145880694949484</v>
      </c>
    </row>
    <row r="983" spans="1:12" x14ac:dyDescent="0.25">
      <c r="A983" s="1">
        <v>45337</v>
      </c>
      <c r="B983">
        <v>499.29000854492102</v>
      </c>
      <c r="C983">
        <v>491.10350189208901</v>
      </c>
      <c r="D983">
        <v>478.26419982910102</v>
      </c>
      <c r="E983" t="str">
        <f t="shared" si="58"/>
        <v>Sell</v>
      </c>
      <c r="F983">
        <f t="shared" si="60"/>
        <v>0</v>
      </c>
      <c r="G983">
        <f t="shared" si="59"/>
        <v>0</v>
      </c>
      <c r="H983" s="12" cm="1">
        <f t="array" ref="H983">PRODUCT(1+G$2:G983)-1</f>
        <v>0.26874645812601394</v>
      </c>
      <c r="I983">
        <f>H983-MAX(H$2:H983)</f>
        <v>-7.4345975710430334E-3</v>
      </c>
      <c r="L983" s="2">
        <f t="shared" si="61"/>
        <v>0.49896428603168252</v>
      </c>
    </row>
    <row r="984" spans="1:12" x14ac:dyDescent="0.25">
      <c r="A984" s="1">
        <v>45338</v>
      </c>
      <c r="B984">
        <v>501.70001220703102</v>
      </c>
      <c r="C984">
        <v>492.30600280761701</v>
      </c>
      <c r="D984">
        <v>479.19299987792903</v>
      </c>
      <c r="E984" t="str">
        <f t="shared" si="58"/>
        <v>Sell</v>
      </c>
      <c r="F984">
        <f t="shared" si="60"/>
        <v>0</v>
      </c>
      <c r="G984">
        <f t="shared" si="59"/>
        <v>0</v>
      </c>
      <c r="H984" s="12" cm="1">
        <f t="array" ref="H984">PRODUCT(1+G$2:G984)-1</f>
        <v>0.26874645812601394</v>
      </c>
      <c r="I984">
        <f>H984-MAX(H$2:H984)</f>
        <v>-7.4345975710430334E-3</v>
      </c>
      <c r="L984" s="2">
        <f t="shared" si="61"/>
        <v>0.50619957886126743</v>
      </c>
    </row>
    <row r="985" spans="1:12" x14ac:dyDescent="0.25">
      <c r="A985" s="1">
        <v>45342</v>
      </c>
      <c r="B985">
        <v>497.72000122070301</v>
      </c>
      <c r="C985">
        <v>492.991502380371</v>
      </c>
      <c r="D985">
        <v>479.971199951171</v>
      </c>
      <c r="E985" t="str">
        <f t="shared" si="58"/>
        <v>Sell</v>
      </c>
      <c r="F985">
        <f t="shared" si="60"/>
        <v>0</v>
      </c>
      <c r="G985">
        <f t="shared" si="59"/>
        <v>0</v>
      </c>
      <c r="H985" s="12" cm="1">
        <f t="array" ref="H985">PRODUCT(1+G$2:G985)-1</f>
        <v>0.26874645812601394</v>
      </c>
      <c r="I985">
        <f>H985-MAX(H$2:H985)</f>
        <v>-7.4345975710430334E-3</v>
      </c>
      <c r="L985" s="2">
        <f t="shared" si="61"/>
        <v>0.49425082317936264</v>
      </c>
    </row>
    <row r="986" spans="1:12" x14ac:dyDescent="0.25">
      <c r="A986" s="1">
        <v>45343</v>
      </c>
      <c r="B986">
        <v>495.42001342773398</v>
      </c>
      <c r="C986">
        <v>493.56200256347603</v>
      </c>
      <c r="D986">
        <v>480.74140014648401</v>
      </c>
      <c r="E986" t="str">
        <f t="shared" si="58"/>
        <v>Sell</v>
      </c>
      <c r="F986">
        <f t="shared" si="60"/>
        <v>0</v>
      </c>
      <c r="G986">
        <f t="shared" si="59"/>
        <v>0</v>
      </c>
      <c r="H986" s="12" cm="1">
        <f t="array" ref="H986">PRODUCT(1+G$2:G986)-1</f>
        <v>0.26874645812601394</v>
      </c>
      <c r="I986">
        <f>H986-MAX(H$2:H986)</f>
        <v>-7.4345975710430334E-3</v>
      </c>
      <c r="L986" s="2">
        <f t="shared" si="61"/>
        <v>0.48734581907159619</v>
      </c>
    </row>
    <row r="987" spans="1:12" x14ac:dyDescent="0.25">
      <c r="A987" s="1">
        <v>45344</v>
      </c>
      <c r="B987">
        <v>504.010009765625</v>
      </c>
      <c r="C987">
        <v>494.37200317382798</v>
      </c>
      <c r="D987">
        <v>481.67240051269499</v>
      </c>
      <c r="E987" t="str">
        <f t="shared" si="58"/>
        <v>Sell</v>
      </c>
      <c r="F987">
        <f t="shared" si="60"/>
        <v>0</v>
      </c>
      <c r="G987">
        <f t="shared" si="59"/>
        <v>0</v>
      </c>
      <c r="H987" s="12" cm="1">
        <f t="array" ref="H987">PRODUCT(1+G$2:G987)-1</f>
        <v>0.26874645812601394</v>
      </c>
      <c r="I987">
        <f>H987-MAX(H$2:H987)</f>
        <v>-7.4345975710430334E-3</v>
      </c>
      <c r="L987" s="2">
        <f t="shared" si="61"/>
        <v>0.51313463420364014</v>
      </c>
    </row>
    <row r="988" spans="1:12" x14ac:dyDescent="0.25">
      <c r="A988" s="1">
        <v>45345</v>
      </c>
      <c r="B988">
        <v>509.26998901367102</v>
      </c>
      <c r="C988">
        <v>495.45650329589802</v>
      </c>
      <c r="D988">
        <v>482.66400024414003</v>
      </c>
      <c r="E988" t="str">
        <f t="shared" si="58"/>
        <v>Sell</v>
      </c>
      <c r="F988">
        <f t="shared" si="60"/>
        <v>0</v>
      </c>
      <c r="G988">
        <f t="shared" si="59"/>
        <v>0</v>
      </c>
      <c r="H988" s="12" cm="1">
        <f t="array" ref="H988">PRODUCT(1+G$2:G988)-1</f>
        <v>0.26874645812601394</v>
      </c>
      <c r="I988">
        <f>H988-MAX(H$2:H988)</f>
        <v>-7.4345975710430334E-3</v>
      </c>
      <c r="L988" s="2">
        <f t="shared" si="61"/>
        <v>0.5289260998912203</v>
      </c>
    </row>
    <row r="989" spans="1:12" x14ac:dyDescent="0.25">
      <c r="A989" s="1">
        <v>45348</v>
      </c>
      <c r="B989">
        <v>508.29998779296801</v>
      </c>
      <c r="C989">
        <v>496.49200286865198</v>
      </c>
      <c r="D989">
        <v>483.597399902343</v>
      </c>
      <c r="E989" t="str">
        <f t="shared" si="58"/>
        <v>Sell</v>
      </c>
      <c r="F989">
        <f t="shared" si="60"/>
        <v>0</v>
      </c>
      <c r="G989">
        <f t="shared" si="59"/>
        <v>0</v>
      </c>
      <c r="H989" s="12" cm="1">
        <f t="array" ref="H989">PRODUCT(1+G$2:G989)-1</f>
        <v>0.26874645812601394</v>
      </c>
      <c r="I989">
        <f>H989-MAX(H$2:H989)</f>
        <v>-7.4345975710430334E-3</v>
      </c>
      <c r="L989" s="2">
        <f t="shared" si="61"/>
        <v>0.52601397034254715</v>
      </c>
    </row>
    <row r="990" spans="1:12" x14ac:dyDescent="0.25">
      <c r="A990" s="1">
        <v>45349</v>
      </c>
      <c r="B990">
        <v>506.70001220703102</v>
      </c>
      <c r="C990">
        <v>497.440502929687</v>
      </c>
      <c r="D990">
        <v>484.441600341796</v>
      </c>
      <c r="E990" t="str">
        <f t="shared" si="58"/>
        <v>Sell</v>
      </c>
      <c r="F990">
        <f t="shared" si="60"/>
        <v>0</v>
      </c>
      <c r="G990">
        <f t="shared" si="59"/>
        <v>0</v>
      </c>
      <c r="H990" s="12" cm="1">
        <f t="array" ref="H990">PRODUCT(1+G$2:G990)-1</f>
        <v>0.26874645812601394</v>
      </c>
      <c r="I990">
        <f>H990-MAX(H$2:H990)</f>
        <v>-7.4345975710430334E-3</v>
      </c>
      <c r="L990" s="2">
        <f t="shared" si="61"/>
        <v>0.52121053702564279</v>
      </c>
    </row>
    <row r="991" spans="1:12" x14ac:dyDescent="0.25">
      <c r="A991" s="1">
        <v>45350</v>
      </c>
      <c r="B991">
        <v>505.329986572265</v>
      </c>
      <c r="C991">
        <v>498.179002380371</v>
      </c>
      <c r="D991">
        <v>485.09820007324203</v>
      </c>
      <c r="E991" t="str">
        <f t="shared" si="58"/>
        <v>Sell</v>
      </c>
      <c r="F991">
        <f t="shared" si="60"/>
        <v>0</v>
      </c>
      <c r="G991">
        <f t="shared" si="59"/>
        <v>0</v>
      </c>
      <c r="H991" s="12" cm="1">
        <f t="array" ref="H991">PRODUCT(1+G$2:G991)-1</f>
        <v>0.26874645812601394</v>
      </c>
      <c r="I991">
        <f>H991-MAX(H$2:H991)</f>
        <v>-7.4345975710430334E-3</v>
      </c>
      <c r="L991" s="2">
        <f t="shared" si="61"/>
        <v>0.51709745752812386</v>
      </c>
    </row>
    <row r="992" spans="1:12" x14ac:dyDescent="0.25">
      <c r="A992" s="1">
        <v>45351</v>
      </c>
      <c r="B992">
        <v>508.07000732421801</v>
      </c>
      <c r="C992">
        <v>499.15150299072201</v>
      </c>
      <c r="D992">
        <v>485.86980041503898</v>
      </c>
      <c r="E992" t="str">
        <f t="shared" si="58"/>
        <v>Sell</v>
      </c>
      <c r="F992">
        <f t="shared" si="60"/>
        <v>0</v>
      </c>
      <c r="G992">
        <f t="shared" si="59"/>
        <v>0</v>
      </c>
      <c r="H992" s="12" cm="1">
        <f t="array" ref="H992">PRODUCT(1+G$2:G992)-1</f>
        <v>0.26874645812601394</v>
      </c>
      <c r="I992">
        <f>H992-MAX(H$2:H992)</f>
        <v>-7.4345975710430334E-3</v>
      </c>
      <c r="L992" s="2">
        <f t="shared" si="61"/>
        <v>0.52532352490354117</v>
      </c>
    </row>
    <row r="993" spans="1:12" x14ac:dyDescent="0.25">
      <c r="A993" s="1">
        <v>45352</v>
      </c>
      <c r="B993">
        <v>508.98001098632801</v>
      </c>
      <c r="C993">
        <v>500.36900329589798</v>
      </c>
      <c r="D993">
        <v>486.62980041503903</v>
      </c>
      <c r="E993" t="str">
        <f t="shared" si="58"/>
        <v>Sell</v>
      </c>
      <c r="F993">
        <f t="shared" si="60"/>
        <v>0</v>
      </c>
      <c r="G993">
        <f t="shared" si="59"/>
        <v>0</v>
      </c>
      <c r="H993" s="12" cm="1">
        <f t="array" ref="H993">PRODUCT(1+G$2:G993)-1</f>
        <v>0.26874645812601394</v>
      </c>
      <c r="I993">
        <f>H993-MAX(H$2:H993)</f>
        <v>-7.4345975710430334E-3</v>
      </c>
      <c r="L993" s="2">
        <f t="shared" si="61"/>
        <v>0.52805553028381358</v>
      </c>
    </row>
    <row r="994" spans="1:12" x14ac:dyDescent="0.25">
      <c r="A994" s="1">
        <v>45355</v>
      </c>
      <c r="B994">
        <v>512.030029296875</v>
      </c>
      <c r="C994">
        <v>501.48800506591698</v>
      </c>
      <c r="D994">
        <v>487.41980102538997</v>
      </c>
      <c r="E994" t="str">
        <f t="shared" si="58"/>
        <v>Sell</v>
      </c>
      <c r="F994">
        <f t="shared" si="60"/>
        <v>0</v>
      </c>
      <c r="G994">
        <f t="shared" si="59"/>
        <v>0</v>
      </c>
      <c r="H994" s="12" cm="1">
        <f t="array" ref="H994">PRODUCT(1+G$2:G994)-1</f>
        <v>0.26874645812601394</v>
      </c>
      <c r="I994">
        <f>H994-MAX(H$2:H994)</f>
        <v>-7.4345975710430334E-3</v>
      </c>
      <c r="L994" s="2">
        <f t="shared" si="61"/>
        <v>0.53721226973585345</v>
      </c>
    </row>
    <row r="995" spans="1:12" x14ac:dyDescent="0.25">
      <c r="A995" s="1">
        <v>45356</v>
      </c>
      <c r="B995">
        <v>510.239990234375</v>
      </c>
      <c r="C995">
        <v>502.31500396728501</v>
      </c>
      <c r="D995">
        <v>488.14540100097599</v>
      </c>
      <c r="E995" t="str">
        <f t="shared" si="58"/>
        <v>Sell</v>
      </c>
      <c r="F995">
        <f t="shared" si="60"/>
        <v>0</v>
      </c>
      <c r="G995">
        <f t="shared" si="59"/>
        <v>0</v>
      </c>
      <c r="H995" s="12" cm="1">
        <f t="array" ref="H995">PRODUCT(1+G$2:G995)-1</f>
        <v>0.26874645812601394</v>
      </c>
      <c r="I995">
        <f>H995-MAX(H$2:H995)</f>
        <v>-7.4345975710430334E-3</v>
      </c>
      <c r="L995" s="2">
        <f t="shared" si="61"/>
        <v>0.53183822943989645</v>
      </c>
    </row>
    <row r="996" spans="1:12" x14ac:dyDescent="0.25">
      <c r="A996" s="1">
        <v>45357</v>
      </c>
      <c r="B996">
        <v>510.54998779296801</v>
      </c>
      <c r="C996">
        <v>503.16650390625</v>
      </c>
      <c r="D996">
        <v>488.92980102539002</v>
      </c>
      <c r="E996" t="str">
        <f t="shared" si="58"/>
        <v>Sell</v>
      </c>
      <c r="F996">
        <f t="shared" si="60"/>
        <v>0</v>
      </c>
      <c r="G996">
        <f t="shared" si="59"/>
        <v>0</v>
      </c>
      <c r="H996" s="12" cm="1">
        <f t="array" ref="H996">PRODUCT(1+G$2:G996)-1</f>
        <v>0.26874645812601394</v>
      </c>
      <c r="I996">
        <f>H996-MAX(H$2:H996)</f>
        <v>-7.4345975710430334E-3</v>
      </c>
      <c r="L996" s="2">
        <f t="shared" si="61"/>
        <v>0.53276890151651601</v>
      </c>
    </row>
    <row r="997" spans="1:12" x14ac:dyDescent="0.25">
      <c r="A997" s="1">
        <v>45358</v>
      </c>
      <c r="B997">
        <v>513.14001464843705</v>
      </c>
      <c r="C997">
        <v>504.00900421142501</v>
      </c>
      <c r="D997">
        <v>489.71540161132799</v>
      </c>
      <c r="E997" t="str">
        <f t="shared" si="58"/>
        <v>Sell</v>
      </c>
      <c r="F997">
        <f t="shared" si="60"/>
        <v>0</v>
      </c>
      <c r="G997">
        <f t="shared" si="59"/>
        <v>0</v>
      </c>
      <c r="H997" s="12" cm="1">
        <f t="array" ref="H997">PRODUCT(1+G$2:G997)-1</f>
        <v>0.26874645812601394</v>
      </c>
      <c r="I997">
        <f>H997-MAX(H$2:H997)</f>
        <v>-7.4345975710430334E-3</v>
      </c>
      <c r="L997" s="2">
        <f t="shared" si="61"/>
        <v>0.54054465847092692</v>
      </c>
    </row>
    <row r="998" spans="1:12" x14ac:dyDescent="0.25">
      <c r="A998" s="1">
        <v>45359</v>
      </c>
      <c r="B998">
        <v>515.46002197265602</v>
      </c>
      <c r="C998">
        <v>504.87700500488199</v>
      </c>
      <c r="D998">
        <v>490.54320190429598</v>
      </c>
      <c r="E998" t="str">
        <f t="shared" si="58"/>
        <v>Sell</v>
      </c>
      <c r="F998">
        <f t="shared" si="60"/>
        <v>0</v>
      </c>
      <c r="G998">
        <f t="shared" si="59"/>
        <v>0</v>
      </c>
      <c r="H998" s="12" cm="1">
        <f t="array" ref="H998">PRODUCT(1+G$2:G998)-1</f>
        <v>0.26874645812601394</v>
      </c>
      <c r="I998">
        <f>H998-MAX(H$2:H998)</f>
        <v>-7.4345975710430334E-3</v>
      </c>
      <c r="L998" s="2">
        <f t="shared" si="61"/>
        <v>0.54750976504790605</v>
      </c>
    </row>
    <row r="999" spans="1:12" x14ac:dyDescent="0.25">
      <c r="A999" s="1">
        <v>45362</v>
      </c>
      <c r="B999">
        <v>510.48001098632801</v>
      </c>
      <c r="C999">
        <v>505.45900573730398</v>
      </c>
      <c r="D999">
        <v>491.244002075195</v>
      </c>
      <c r="E999" t="str">
        <f t="shared" si="58"/>
        <v>Sell</v>
      </c>
      <c r="F999">
        <f t="shared" si="60"/>
        <v>0</v>
      </c>
      <c r="G999">
        <f t="shared" si="59"/>
        <v>0</v>
      </c>
      <c r="H999" s="12" cm="1">
        <f t="array" ref="H999">PRODUCT(1+G$2:G999)-1</f>
        <v>0.26874645812601394</v>
      </c>
      <c r="I999">
        <f>H999-MAX(H$2:H999)</f>
        <v>-7.4345975710430334E-3</v>
      </c>
      <c r="L999" s="2">
        <f t="shared" si="61"/>
        <v>0.53255881773312619</v>
      </c>
    </row>
    <row r="1000" spans="1:12" x14ac:dyDescent="0.25">
      <c r="A1000" s="1">
        <v>45363</v>
      </c>
      <c r="B1000">
        <v>513.45001220703102</v>
      </c>
      <c r="C1000">
        <v>506.07300567626902</v>
      </c>
      <c r="D1000">
        <v>491.97540222167902</v>
      </c>
      <c r="E1000" t="str">
        <f t="shared" si="58"/>
        <v>Sell</v>
      </c>
      <c r="F1000">
        <f t="shared" si="60"/>
        <v>0</v>
      </c>
      <c r="G1000">
        <f t="shared" si="59"/>
        <v>0</v>
      </c>
      <c r="H1000" s="12" cm="1">
        <f t="array" ref="H1000">PRODUCT(1+G$2:G1000)-1</f>
        <v>0.26874645812601394</v>
      </c>
      <c r="I1000">
        <f>H1000-MAX(H$2:H1000)</f>
        <v>-7.4345975710430334E-3</v>
      </c>
      <c r="L1000" s="2">
        <f t="shared" si="61"/>
        <v>0.54147533054754948</v>
      </c>
    </row>
    <row r="1001" spans="1:12" x14ac:dyDescent="0.25">
      <c r="A1001" s="1">
        <v>45364</v>
      </c>
      <c r="B1001">
        <v>517.10998535156205</v>
      </c>
      <c r="C1001">
        <v>507.20200500488198</v>
      </c>
      <c r="D1001">
        <v>492.78780212402302</v>
      </c>
      <c r="E1001" t="str">
        <f t="shared" si="58"/>
        <v>Sell</v>
      </c>
      <c r="F1001">
        <f t="shared" si="60"/>
        <v>0</v>
      </c>
      <c r="G1001">
        <f t="shared" si="59"/>
        <v>0</v>
      </c>
      <c r="H1001" s="12" cm="1">
        <f t="array" ref="H1001">PRODUCT(1+G$2:G1001)-1</f>
        <v>0.26874645812601394</v>
      </c>
      <c r="I1001">
        <f>H1001-MAX(H$2:H1001)</f>
        <v>-7.4345975710430334E-3</v>
      </c>
      <c r="L1001" s="2">
        <f t="shared" si="61"/>
        <v>0.55246327129860795</v>
      </c>
    </row>
    <row r="1002" spans="1:12" x14ac:dyDescent="0.25">
      <c r="A1002" s="1">
        <v>45365</v>
      </c>
      <c r="B1002">
        <v>516.969970703125</v>
      </c>
      <c r="C1002">
        <v>508.21100311279201</v>
      </c>
      <c r="D1002">
        <v>493.68400146484299</v>
      </c>
      <c r="E1002" t="str">
        <f t="shared" si="58"/>
        <v>Sell</v>
      </c>
      <c r="F1002">
        <f t="shared" si="60"/>
        <v>0</v>
      </c>
      <c r="G1002">
        <f t="shared" si="59"/>
        <v>0</v>
      </c>
      <c r="H1002" s="12" cm="1">
        <f t="array" ref="H1002">PRODUCT(1+G$2:G1002)-1</f>
        <v>0.26874645812601394</v>
      </c>
      <c r="I1002">
        <f>H1002-MAX(H$2:H1002)</f>
        <v>-7.4345975710430334E-3</v>
      </c>
      <c r="L1002" s="2">
        <f t="shared" si="61"/>
        <v>0.55204292049259029</v>
      </c>
    </row>
    <row r="1003" spans="1:12" x14ac:dyDescent="0.25">
      <c r="A1003" s="1">
        <v>45366</v>
      </c>
      <c r="B1003">
        <v>510.20999145507801</v>
      </c>
      <c r="C1003">
        <v>508.75700225830002</v>
      </c>
      <c r="D1003">
        <v>494.47960144042901</v>
      </c>
      <c r="E1003" t="str">
        <f t="shared" si="58"/>
        <v>Sell</v>
      </c>
      <c r="F1003">
        <f t="shared" si="60"/>
        <v>0</v>
      </c>
      <c r="G1003">
        <f t="shared" si="59"/>
        <v>0</v>
      </c>
      <c r="H1003" s="12" cm="1">
        <f t="array" ref="H1003">PRODUCT(1+G$2:G1003)-1</f>
        <v>0.26874645812601394</v>
      </c>
      <c r="I1003">
        <f>H1003-MAX(H$2:H1003)</f>
        <v>-7.4345975710430334E-3</v>
      </c>
      <c r="L1003" s="2">
        <f t="shared" si="61"/>
        <v>0.53174816735569452</v>
      </c>
    </row>
    <row r="1004" spans="1:12" x14ac:dyDescent="0.25">
      <c r="A1004" s="1">
        <v>45369</v>
      </c>
      <c r="B1004">
        <v>514</v>
      </c>
      <c r="C1004">
        <v>509.37200164794899</v>
      </c>
      <c r="D1004">
        <v>495.39360168457</v>
      </c>
      <c r="E1004" t="str">
        <f t="shared" si="58"/>
        <v>Sell</v>
      </c>
      <c r="F1004">
        <f t="shared" si="60"/>
        <v>0</v>
      </c>
      <c r="G1004">
        <f t="shared" si="59"/>
        <v>0</v>
      </c>
      <c r="H1004" s="12" cm="1">
        <f t="array" ref="H1004">PRODUCT(1+G$2:G1004)-1</f>
        <v>0.26874645812601394</v>
      </c>
      <c r="I1004">
        <f>H1004-MAX(H$2:H1004)</f>
        <v>-7.4345975710430334E-3</v>
      </c>
      <c r="L1004" s="2">
        <f t="shared" si="61"/>
        <v>0.54312649929778434</v>
      </c>
    </row>
    <row r="1005" spans="1:12" x14ac:dyDescent="0.25">
      <c r="A1005" s="1">
        <v>45370</v>
      </c>
      <c r="B1005">
        <v>512.15002441406205</v>
      </c>
      <c r="C1005">
        <v>510.09350280761703</v>
      </c>
      <c r="D1005">
        <v>496.28680236816399</v>
      </c>
      <c r="E1005" t="str">
        <f t="shared" si="58"/>
        <v>Sell</v>
      </c>
      <c r="F1005">
        <f t="shared" si="60"/>
        <v>0</v>
      </c>
      <c r="G1005">
        <f t="shared" si="59"/>
        <v>0</v>
      </c>
      <c r="H1005" s="12" cm="1">
        <f t="array" ref="H1005">PRODUCT(1+G$2:G1005)-1</f>
        <v>0.26874645812601394</v>
      </c>
      <c r="I1005">
        <f>H1005-MAX(H$2:H1005)</f>
        <v>-7.4345975710430334E-3</v>
      </c>
      <c r="L1005" s="2">
        <f t="shared" si="61"/>
        <v>0.53757251807265827</v>
      </c>
    </row>
    <row r="1006" spans="1:12" x14ac:dyDescent="0.25">
      <c r="A1006" s="1">
        <v>45371</v>
      </c>
      <c r="B1006">
        <v>515.77001953125</v>
      </c>
      <c r="C1006">
        <v>511.11100311279199</v>
      </c>
      <c r="D1006">
        <v>497.23360290527302</v>
      </c>
      <c r="E1006" t="str">
        <f t="shared" si="58"/>
        <v>Sell</v>
      </c>
      <c r="F1006">
        <f t="shared" si="60"/>
        <v>0</v>
      </c>
      <c r="G1006">
        <f t="shared" si="59"/>
        <v>0</v>
      </c>
      <c r="H1006" s="12" cm="1">
        <f t="array" ref="H1006">PRODUCT(1+G$2:G1006)-1</f>
        <v>0.26874645812601394</v>
      </c>
      <c r="I1006">
        <f>H1006-MAX(H$2:H1006)</f>
        <v>-7.4345975710430334E-3</v>
      </c>
      <c r="L1006" s="2">
        <f t="shared" si="61"/>
        <v>0.5484404371245285</v>
      </c>
    </row>
    <row r="1007" spans="1:12" x14ac:dyDescent="0.25">
      <c r="A1007" s="1">
        <v>45372</v>
      </c>
      <c r="B1007">
        <v>523.39001464843705</v>
      </c>
      <c r="C1007">
        <v>512.08000335693305</v>
      </c>
      <c r="D1007">
        <v>498.26400329589802</v>
      </c>
      <c r="E1007" t="str">
        <f t="shared" si="58"/>
        <v>Sell</v>
      </c>
      <c r="F1007">
        <f t="shared" si="60"/>
        <v>0</v>
      </c>
      <c r="G1007">
        <f t="shared" si="59"/>
        <v>0</v>
      </c>
      <c r="H1007" s="12" cm="1">
        <f t="array" ref="H1007">PRODUCT(1+G$2:G1007)-1</f>
        <v>0.26874645812601394</v>
      </c>
      <c r="I1007">
        <f>H1007-MAX(H$2:H1007)</f>
        <v>-7.4345975710430334E-3</v>
      </c>
      <c r="L1007" s="2">
        <f t="shared" si="61"/>
        <v>0.57131712270789636</v>
      </c>
    </row>
    <row r="1008" spans="1:12" x14ac:dyDescent="0.25">
      <c r="A1008" s="1">
        <v>45373</v>
      </c>
      <c r="B1008">
        <v>522.10998535156205</v>
      </c>
      <c r="C1008">
        <v>512.72200317382806</v>
      </c>
      <c r="D1008">
        <v>499.22300292968703</v>
      </c>
      <c r="E1008" t="str">
        <f t="shared" si="58"/>
        <v>Sell</v>
      </c>
      <c r="F1008">
        <f t="shared" si="60"/>
        <v>0</v>
      </c>
      <c r="G1008">
        <f t="shared" si="59"/>
        <v>0</v>
      </c>
      <c r="H1008" s="12" cm="1">
        <f t="array" ref="H1008">PRODUCT(1+G$2:G1008)-1</f>
        <v>0.26874645812601394</v>
      </c>
      <c r="I1008">
        <f>H1008-MAX(H$2:H1008)</f>
        <v>-7.4345975710430334E-3</v>
      </c>
      <c r="L1008" s="2">
        <f t="shared" si="61"/>
        <v>0.56747422946298332</v>
      </c>
    </row>
    <row r="1009" spans="1:12" x14ac:dyDescent="0.25">
      <c r="A1009" s="1">
        <v>45376</v>
      </c>
      <c r="B1009">
        <v>519.79998779296795</v>
      </c>
      <c r="C1009">
        <v>513.29700317382799</v>
      </c>
      <c r="D1009">
        <v>500.06720275878899</v>
      </c>
      <c r="E1009" t="str">
        <f t="shared" si="58"/>
        <v>Sell</v>
      </c>
      <c r="F1009">
        <f t="shared" si="60"/>
        <v>0</v>
      </c>
      <c r="G1009">
        <f t="shared" si="59"/>
        <v>0</v>
      </c>
      <c r="H1009" s="12" cm="1">
        <f t="array" ref="H1009">PRODUCT(1+G$2:G1009)-1</f>
        <v>0.26874645812601394</v>
      </c>
      <c r="I1009">
        <f>H1009-MAX(H$2:H1009)</f>
        <v>-7.4345975710430334E-3</v>
      </c>
      <c r="L1009" s="2">
        <f t="shared" si="61"/>
        <v>0.56053917412061027</v>
      </c>
    </row>
    <row r="1010" spans="1:12" x14ac:dyDescent="0.25">
      <c r="A1010" s="1">
        <v>45377</v>
      </c>
      <c r="B1010">
        <v>521.22998046875</v>
      </c>
      <c r="C1010">
        <v>514.02350158691399</v>
      </c>
      <c r="D1010">
        <v>500.93500244140603</v>
      </c>
      <c r="E1010" t="str">
        <f t="shared" si="58"/>
        <v>Sell</v>
      </c>
      <c r="F1010">
        <f t="shared" si="60"/>
        <v>0</v>
      </c>
      <c r="G1010">
        <f t="shared" si="59"/>
        <v>0</v>
      </c>
      <c r="H1010" s="12" cm="1">
        <f t="array" ref="H1010">PRODUCT(1+G$2:G1010)-1</f>
        <v>0.26874645812601394</v>
      </c>
      <c r="I1010">
        <f>H1010-MAX(H$2:H1010)</f>
        <v>-7.4345975710430334E-3</v>
      </c>
      <c r="L1010" s="2">
        <f t="shared" si="61"/>
        <v>0.56483228616691572</v>
      </c>
    </row>
    <row r="1011" spans="1:12" x14ac:dyDescent="0.25">
      <c r="A1011" s="1">
        <v>45378</v>
      </c>
      <c r="B1011">
        <v>521.71002197265602</v>
      </c>
      <c r="C1011">
        <v>514.84250335693298</v>
      </c>
      <c r="D1011">
        <v>501.86400268554598</v>
      </c>
      <c r="E1011" t="str">
        <f t="shared" si="58"/>
        <v>Sell</v>
      </c>
      <c r="F1011">
        <f t="shared" si="60"/>
        <v>0</v>
      </c>
      <c r="G1011">
        <f t="shared" si="59"/>
        <v>0</v>
      </c>
      <c r="H1011" s="12" cm="1">
        <f t="array" ref="H1011">PRODUCT(1+G$2:G1011)-1</f>
        <v>0.26874645812601394</v>
      </c>
      <c r="I1011">
        <f>H1011-MAX(H$2:H1011)</f>
        <v>-7.4345975710430334E-3</v>
      </c>
      <c r="L1011" s="2">
        <f t="shared" si="61"/>
        <v>0.5662734627533752</v>
      </c>
    </row>
    <row r="1012" spans="1:12" x14ac:dyDescent="0.25">
      <c r="A1012" s="1">
        <v>45379</v>
      </c>
      <c r="B1012">
        <v>523.21002197265602</v>
      </c>
      <c r="C1012">
        <v>515.59950408935504</v>
      </c>
      <c r="D1012">
        <v>502.89180297851499</v>
      </c>
      <c r="E1012" t="str">
        <f t="shared" si="58"/>
        <v>Sell</v>
      </c>
      <c r="F1012">
        <f t="shared" si="60"/>
        <v>0</v>
      </c>
      <c r="G1012">
        <f t="shared" si="59"/>
        <v>0</v>
      </c>
      <c r="H1012" s="12" cm="1">
        <f t="array" ref="H1012">PRODUCT(1+G$2:G1012)-1</f>
        <v>0.26874645812601394</v>
      </c>
      <c r="I1012">
        <f>H1012-MAX(H$2:H1012)</f>
        <v>-7.4345975710430334E-3</v>
      </c>
      <c r="L1012" s="2">
        <f t="shared" si="61"/>
        <v>0.57077675020268781</v>
      </c>
    </row>
    <row r="1013" spans="1:12" x14ac:dyDescent="0.25">
      <c r="A1013" s="1">
        <v>45383</v>
      </c>
      <c r="B1013">
        <v>523.83001708984295</v>
      </c>
      <c r="C1013">
        <v>516.34200439453105</v>
      </c>
      <c r="D1013">
        <v>503.888203124999</v>
      </c>
      <c r="E1013" t="str">
        <f t="shared" si="58"/>
        <v>Sell</v>
      </c>
      <c r="F1013">
        <f t="shared" si="60"/>
        <v>0</v>
      </c>
      <c r="G1013">
        <f t="shared" si="59"/>
        <v>0</v>
      </c>
      <c r="H1013" s="12" cm="1">
        <f t="array" ref="H1013">PRODUCT(1+G$2:G1013)-1</f>
        <v>0.26874645812601394</v>
      </c>
      <c r="I1013">
        <f>H1013-MAX(H$2:H1013)</f>
        <v>-7.4345975710430334E-3</v>
      </c>
      <c r="L1013" s="2">
        <f t="shared" si="61"/>
        <v>0.57263809435592972</v>
      </c>
    </row>
    <row r="1014" spans="1:12" x14ac:dyDescent="0.25">
      <c r="A1014" s="1">
        <v>45384</v>
      </c>
      <c r="B1014">
        <v>518.239990234375</v>
      </c>
      <c r="C1014">
        <v>516.652502441406</v>
      </c>
      <c r="D1014">
        <v>504.70000305175699</v>
      </c>
      <c r="E1014" t="str">
        <f t="shared" si="58"/>
        <v>Sell</v>
      </c>
      <c r="F1014">
        <f t="shared" si="60"/>
        <v>0</v>
      </c>
      <c r="G1014">
        <f t="shared" si="59"/>
        <v>0</v>
      </c>
      <c r="H1014" s="12" cm="1">
        <f t="array" ref="H1014">PRODUCT(1+G$2:G1014)-1</f>
        <v>0.26874645812601394</v>
      </c>
      <c r="I1014">
        <f>H1014-MAX(H$2:H1014)</f>
        <v>-7.4345975710430334E-3</v>
      </c>
      <c r="L1014" s="2">
        <f t="shared" si="61"/>
        <v>0.55585576250289692</v>
      </c>
    </row>
    <row r="1015" spans="1:12" x14ac:dyDescent="0.25">
      <c r="A1015" s="1">
        <v>45385</v>
      </c>
      <c r="B1015">
        <v>517.719970703125</v>
      </c>
      <c r="C1015">
        <v>517.02650146484302</v>
      </c>
      <c r="D1015">
        <v>505.374202270507</v>
      </c>
      <c r="E1015" t="str">
        <f t="shared" si="58"/>
        <v>Sell</v>
      </c>
      <c r="F1015">
        <f t="shared" si="60"/>
        <v>0</v>
      </c>
      <c r="G1015">
        <f t="shared" si="59"/>
        <v>0</v>
      </c>
      <c r="H1015" s="12" cm="1">
        <f t="array" ref="H1015">PRODUCT(1+G$2:G1015)-1</f>
        <v>0.26874645812601394</v>
      </c>
      <c r="I1015">
        <f>H1015-MAX(H$2:H1015)</f>
        <v>-7.4345975710430334E-3</v>
      </c>
      <c r="L1015" s="2">
        <f t="shared" si="61"/>
        <v>0.55429456421724654</v>
      </c>
    </row>
    <row r="1016" spans="1:12" x14ac:dyDescent="0.25">
      <c r="A1016" s="1">
        <v>45386</v>
      </c>
      <c r="B1016">
        <v>523.52001953125</v>
      </c>
      <c r="C1016">
        <v>517.67500305175702</v>
      </c>
      <c r="D1016">
        <v>506.16440246581999</v>
      </c>
      <c r="E1016" t="str">
        <f t="shared" si="58"/>
        <v>Sell</v>
      </c>
      <c r="F1016">
        <f t="shared" si="60"/>
        <v>0</v>
      </c>
      <c r="G1016">
        <f t="shared" si="59"/>
        <v>0</v>
      </c>
      <c r="H1016" s="12" cm="1">
        <f t="array" ref="H1016">PRODUCT(1+G$2:G1016)-1</f>
        <v>0.26874645812601394</v>
      </c>
      <c r="I1016">
        <f>H1016-MAX(H$2:H1016)</f>
        <v>-7.4345975710430334E-3</v>
      </c>
      <c r="L1016" s="2">
        <f t="shared" si="61"/>
        <v>0.57170742227931026</v>
      </c>
    </row>
    <row r="1017" spans="1:12" x14ac:dyDescent="0.25">
      <c r="A1017" s="1">
        <v>45387</v>
      </c>
      <c r="B1017">
        <v>514.46002197265602</v>
      </c>
      <c r="C1017">
        <v>517.74100341796805</v>
      </c>
      <c r="D1017">
        <v>506.69740295410099</v>
      </c>
      <c r="E1017" t="str">
        <f t="shared" si="58"/>
        <v>Sell</v>
      </c>
      <c r="F1017">
        <f t="shared" si="60"/>
        <v>0</v>
      </c>
      <c r="G1017">
        <f t="shared" si="59"/>
        <v>0</v>
      </c>
      <c r="H1017" s="12" cm="1">
        <f t="array" ref="H1017">PRODUCT(1+G$2:G1017)-1</f>
        <v>0.26874645812601394</v>
      </c>
      <c r="I1017">
        <f>H1017-MAX(H$2:H1017)</f>
        <v>-7.4345975710430334E-3</v>
      </c>
      <c r="L1017" s="2">
        <f t="shared" si="61"/>
        <v>0.54450757341503098</v>
      </c>
    </row>
    <row r="1018" spans="1:12" x14ac:dyDescent="0.25">
      <c r="A1018" s="1">
        <v>45390</v>
      </c>
      <c r="B1018">
        <v>519.15002441406205</v>
      </c>
      <c r="C1018">
        <v>517.92550354003902</v>
      </c>
      <c r="D1018">
        <v>507.328803710937</v>
      </c>
      <c r="E1018" t="str">
        <f t="shared" si="58"/>
        <v>Sell</v>
      </c>
      <c r="F1018">
        <f t="shared" si="60"/>
        <v>0</v>
      </c>
      <c r="G1018">
        <f t="shared" si="59"/>
        <v>0</v>
      </c>
      <c r="H1018" s="12" cm="1">
        <f t="array" ref="H1018">PRODUCT(1+G$2:G1018)-1</f>
        <v>0.26874645812601394</v>
      </c>
      <c r="I1018">
        <f>H1018-MAX(H$2:H1018)</f>
        <v>-7.4345975710430334E-3</v>
      </c>
      <c r="L1018" s="2">
        <f t="shared" si="61"/>
        <v>0.55858785950278378</v>
      </c>
    </row>
    <row r="1019" spans="1:12" x14ac:dyDescent="0.25">
      <c r="A1019" s="1">
        <v>45391</v>
      </c>
      <c r="B1019">
        <v>520.5</v>
      </c>
      <c r="C1019">
        <v>518.42650299072204</v>
      </c>
      <c r="D1019">
        <v>507.98700378417902</v>
      </c>
      <c r="E1019" t="str">
        <f t="shared" si="58"/>
        <v>Sell</v>
      </c>
      <c r="F1019">
        <f t="shared" si="60"/>
        <v>0</v>
      </c>
      <c r="G1019">
        <f t="shared" si="59"/>
        <v>0</v>
      </c>
      <c r="H1019" s="12" cm="1">
        <f t="array" ref="H1019">PRODUCT(1+G$2:G1019)-1</f>
        <v>0.26874645812601394</v>
      </c>
      <c r="I1019">
        <f>H1019-MAX(H$2:H1019)</f>
        <v>-7.4345975710430334E-3</v>
      </c>
      <c r="L1019" s="2">
        <f t="shared" si="61"/>
        <v>0.56264074491147231</v>
      </c>
    </row>
    <row r="1020" spans="1:12" x14ac:dyDescent="0.25">
      <c r="A1020" s="1">
        <v>45392</v>
      </c>
      <c r="B1020">
        <v>513.47998046875</v>
      </c>
      <c r="C1020">
        <v>518.42800140380803</v>
      </c>
      <c r="D1020">
        <v>508.50200317382797</v>
      </c>
      <c r="E1020" t="str">
        <f t="shared" si="58"/>
        <v>Hold</v>
      </c>
      <c r="F1020">
        <f t="shared" si="60"/>
        <v>0</v>
      </c>
      <c r="G1020">
        <f t="shared" si="59"/>
        <v>0</v>
      </c>
      <c r="H1020" s="12" cm="1">
        <f t="array" ref="H1020">PRODUCT(1+G$2:G1020)-1</f>
        <v>0.26874645812601394</v>
      </c>
      <c r="I1020">
        <f>H1020-MAX(H$2:H1020)</f>
        <v>-7.4345975710430334E-3</v>
      </c>
      <c r="L1020" s="2">
        <f t="shared" si="61"/>
        <v>0.54156530101213396</v>
      </c>
    </row>
    <row r="1021" spans="1:12" x14ac:dyDescent="0.25">
      <c r="A1021" s="1">
        <v>45393</v>
      </c>
      <c r="B1021">
        <v>515.67999267578102</v>
      </c>
      <c r="C1021">
        <v>518.35650177001901</v>
      </c>
      <c r="D1021">
        <v>509.004403076171</v>
      </c>
      <c r="E1021" t="str">
        <f t="shared" si="58"/>
        <v>Hold</v>
      </c>
      <c r="F1021">
        <f t="shared" si="60"/>
        <v>0</v>
      </c>
      <c r="G1021">
        <f t="shared" si="59"/>
        <v>0</v>
      </c>
      <c r="H1021" s="12" cm="1">
        <f t="array" ref="H1021">PRODUCT(1+G$2:G1021)-1</f>
        <v>0.26874645812601394</v>
      </c>
      <c r="I1021">
        <f>H1021-MAX(H$2:H1021)</f>
        <v>-7.4345975710430334E-3</v>
      </c>
      <c r="L1021" s="2">
        <f t="shared" si="61"/>
        <v>0.5481701592523055</v>
      </c>
    </row>
    <row r="1022" spans="1:12" x14ac:dyDescent="0.25">
      <c r="A1022" s="1">
        <v>45394</v>
      </c>
      <c r="B1022">
        <v>514.36999511718705</v>
      </c>
      <c r="C1022">
        <v>518.226502990722</v>
      </c>
      <c r="D1022">
        <v>509.51940307617099</v>
      </c>
      <c r="E1022" t="str">
        <f t="shared" si="58"/>
        <v>Sell</v>
      </c>
      <c r="F1022">
        <f t="shared" si="60"/>
        <v>0</v>
      </c>
      <c r="G1022">
        <f t="shared" si="59"/>
        <v>0</v>
      </c>
      <c r="H1022" s="12" cm="1">
        <f t="array" ref="H1022">PRODUCT(1+G$2:G1022)-1</f>
        <v>0.26874645812601394</v>
      </c>
      <c r="I1022">
        <f>H1022-MAX(H$2:H1022)</f>
        <v>-7.4345975710430334E-3</v>
      </c>
      <c r="L1022" s="2">
        <f t="shared" si="61"/>
        <v>0.54423729554280786</v>
      </c>
    </row>
    <row r="1023" spans="1:12" x14ac:dyDescent="0.25">
      <c r="A1023" s="1">
        <v>45397</v>
      </c>
      <c r="B1023">
        <v>515.13000488281205</v>
      </c>
      <c r="C1023">
        <v>518.47250366210903</v>
      </c>
      <c r="D1023">
        <v>510.129403076171</v>
      </c>
      <c r="E1023" t="str">
        <f t="shared" si="58"/>
        <v>Hold</v>
      </c>
      <c r="F1023">
        <f t="shared" si="60"/>
        <v>0</v>
      </c>
      <c r="G1023">
        <f t="shared" si="59"/>
        <v>0</v>
      </c>
      <c r="H1023" s="12" cm="1">
        <f t="array" ref="H1023">PRODUCT(1+G$2:G1023)-1</f>
        <v>0.26874645812601394</v>
      </c>
      <c r="I1023">
        <f>H1023-MAX(H$2:H1023)</f>
        <v>-7.4345975710430334E-3</v>
      </c>
      <c r="L1023" s="2">
        <f t="shared" si="61"/>
        <v>0.54651899050207065</v>
      </c>
    </row>
    <row r="1024" spans="1:12" x14ac:dyDescent="0.25">
      <c r="A1024" s="1">
        <v>45398</v>
      </c>
      <c r="B1024">
        <v>504.94000244140602</v>
      </c>
      <c r="C1024">
        <v>518.01950378417905</v>
      </c>
      <c r="D1024">
        <v>510.43520324706998</v>
      </c>
      <c r="E1024" t="str">
        <f t="shared" si="58"/>
        <v>Hold</v>
      </c>
      <c r="F1024">
        <f t="shared" si="60"/>
        <v>0</v>
      </c>
      <c r="G1024">
        <f t="shared" si="59"/>
        <v>0</v>
      </c>
      <c r="H1024" s="12" cm="1">
        <f t="array" ref="H1024">PRODUCT(1+G$2:G1024)-1</f>
        <v>0.26874645812601394</v>
      </c>
      <c r="I1024">
        <f>H1024-MAX(H$2:H1024)</f>
        <v>-7.4345975710430334E-3</v>
      </c>
      <c r="L1024" s="2">
        <f t="shared" si="61"/>
        <v>0.51592665043350494</v>
      </c>
    </row>
    <row r="1025" spans="1:12" x14ac:dyDescent="0.25">
      <c r="A1025" s="1">
        <v>45399</v>
      </c>
      <c r="B1025">
        <v>506.04998779296801</v>
      </c>
      <c r="C1025">
        <v>517.714501953124</v>
      </c>
      <c r="D1025">
        <v>510.682202758789</v>
      </c>
      <c r="E1025" t="str">
        <f t="shared" si="58"/>
        <v>Hold</v>
      </c>
      <c r="F1025">
        <f t="shared" si="60"/>
        <v>0</v>
      </c>
      <c r="G1025">
        <f t="shared" si="59"/>
        <v>0</v>
      </c>
      <c r="H1025" s="12" cm="1">
        <f t="array" ref="H1025">PRODUCT(1+G$2:G1025)-1</f>
        <v>0.26874645812601394</v>
      </c>
      <c r="I1025">
        <f>H1025-MAX(H$2:H1025)</f>
        <v>-7.4345975710430334E-3</v>
      </c>
      <c r="L1025" s="2">
        <f t="shared" si="61"/>
        <v>0.5192590391685783</v>
      </c>
    </row>
    <row r="1026" spans="1:12" x14ac:dyDescent="0.25">
      <c r="A1026" s="1">
        <v>45400</v>
      </c>
      <c r="B1026">
        <v>501.98001098632801</v>
      </c>
      <c r="C1026">
        <v>517.025001525878</v>
      </c>
      <c r="D1026">
        <v>510.851403198242</v>
      </c>
      <c r="E1026" t="str">
        <f t="shared" si="58"/>
        <v>Hold</v>
      </c>
      <c r="F1026">
        <f t="shared" si="60"/>
        <v>0</v>
      </c>
      <c r="G1026">
        <f t="shared" si="59"/>
        <v>0</v>
      </c>
      <c r="H1026" s="12" cm="1">
        <f t="array" ref="H1026">PRODUCT(1+G$2:G1026)-1</f>
        <v>0.26874645812601394</v>
      </c>
      <c r="I1026">
        <f>H1026-MAX(H$2:H1026)</f>
        <v>-7.4345975710430334E-3</v>
      </c>
      <c r="L1026" s="2">
        <f t="shared" si="61"/>
        <v>0.50704018885368807</v>
      </c>
    </row>
    <row r="1027" spans="1:12" x14ac:dyDescent="0.25">
      <c r="A1027" s="1">
        <v>45401</v>
      </c>
      <c r="B1027">
        <v>499.44000244140602</v>
      </c>
      <c r="C1027">
        <v>515.82750091552703</v>
      </c>
      <c r="D1027">
        <v>510.91440307617103</v>
      </c>
      <c r="E1027" t="str">
        <f t="shared" ref="E1027:E1090" si="62">IF(OR(ISBLANK(C1027),ISBLANK(D1027),ISBLANK(C1028),ISBLANK(D1028)), "Hold", IF(AND(C1027&gt;C1028,C1028&lt;=D1028), "Buy", IF(AND(C1027&lt;C1028,C1028&gt;=D1028), "Sell", "Hold")))</f>
        <v>Hold</v>
      </c>
      <c r="F1027">
        <f t="shared" si="60"/>
        <v>0</v>
      </c>
      <c r="G1027">
        <f t="shared" ref="G1027:G1090" si="63">IF(F1027=1,(B1028-B1027)/B1027,0)</f>
        <v>0</v>
      </c>
      <c r="H1027" s="12" cm="1">
        <f t="array" ref="H1027">PRODUCT(1+G$2:G1027)-1</f>
        <v>0.26874645812601394</v>
      </c>
      <c r="I1027">
        <f>H1027-MAX(H$2:H1027)</f>
        <v>-7.4345975710430334E-3</v>
      </c>
      <c r="L1027" s="2">
        <f t="shared" si="61"/>
        <v>0.49941459645269209</v>
      </c>
    </row>
    <row r="1028" spans="1:12" x14ac:dyDescent="0.25">
      <c r="A1028" s="1">
        <v>45404</v>
      </c>
      <c r="B1028">
        <v>497.829986572265</v>
      </c>
      <c r="C1028">
        <v>514.61350097656202</v>
      </c>
      <c r="D1028">
        <v>510.909002685546</v>
      </c>
      <c r="E1028" t="str">
        <f t="shared" si="62"/>
        <v>Hold</v>
      </c>
      <c r="F1028">
        <f t="shared" ref="F1028:F1091" si="64">IF(E1028="Buy",1, IF(E1028="Sell",0,F1027))</f>
        <v>0</v>
      </c>
      <c r="G1028">
        <f t="shared" si="63"/>
        <v>0</v>
      </c>
      <c r="H1028" s="12" cm="1">
        <f t="array" ref="H1028">PRODUCT(1+G$2:G1028)-1</f>
        <v>0.26874645812601394</v>
      </c>
      <c r="I1028">
        <f>H1028-MAX(H$2:H1028)</f>
        <v>-7.4345975710430334E-3</v>
      </c>
      <c r="L1028" s="2">
        <f t="shared" si="61"/>
        <v>0.49458102028156087</v>
      </c>
    </row>
    <row r="1029" spans="1:12" x14ac:dyDescent="0.25">
      <c r="A1029" s="1">
        <v>45405</v>
      </c>
      <c r="B1029">
        <v>501.77999877929602</v>
      </c>
      <c r="C1029">
        <v>513.712501525878</v>
      </c>
      <c r="D1029">
        <v>510.967802734374</v>
      </c>
      <c r="E1029" t="str">
        <f t="shared" si="62"/>
        <v>Hold</v>
      </c>
      <c r="F1029">
        <f t="shared" si="64"/>
        <v>0</v>
      </c>
      <c r="G1029">
        <f t="shared" si="63"/>
        <v>0</v>
      </c>
      <c r="H1029" s="12" cm="1">
        <f t="array" ref="H1029">PRODUCT(1+G$2:G1029)-1</f>
        <v>0.26874645812601394</v>
      </c>
      <c r="I1029">
        <f>H1029-MAX(H$2:H1029)</f>
        <v>-7.4345975710430334E-3</v>
      </c>
      <c r="L1029" s="2">
        <f t="shared" si="61"/>
        <v>0.50643971387926379</v>
      </c>
    </row>
    <row r="1030" spans="1:12" x14ac:dyDescent="0.25">
      <c r="A1030" s="1">
        <v>45406</v>
      </c>
      <c r="B1030">
        <v>506.55999755859301</v>
      </c>
      <c r="C1030">
        <v>512.97900238037096</v>
      </c>
      <c r="D1030">
        <v>511.07560241699201</v>
      </c>
      <c r="E1030" t="str">
        <f t="shared" si="62"/>
        <v>Hold</v>
      </c>
      <c r="F1030">
        <f t="shared" si="64"/>
        <v>0</v>
      </c>
      <c r="G1030">
        <f t="shared" si="63"/>
        <v>0</v>
      </c>
      <c r="H1030" s="12" cm="1">
        <f t="array" ref="H1030">PRODUCT(1+G$2:G1030)-1</f>
        <v>0.26874645812601394</v>
      </c>
      <c r="I1030">
        <f>H1030-MAX(H$2:H1030)</f>
        <v>-7.4345975710430334E-3</v>
      </c>
      <c r="L1030" s="2">
        <f t="shared" si="61"/>
        <v>0.52079018621962225</v>
      </c>
    </row>
    <row r="1031" spans="1:12" x14ac:dyDescent="0.25">
      <c r="A1031" s="1">
        <v>45407</v>
      </c>
      <c r="B1031">
        <v>499.17999267578102</v>
      </c>
      <c r="C1031">
        <v>511.852500915527</v>
      </c>
      <c r="D1031">
        <v>511.16860229492102</v>
      </c>
      <c r="E1031" t="str">
        <f t="shared" si="62"/>
        <v>Buy</v>
      </c>
      <c r="F1031">
        <f t="shared" si="64"/>
        <v>1</v>
      </c>
      <c r="G1031">
        <f t="shared" si="63"/>
        <v>1.4363583342553802E-2</v>
      </c>
      <c r="H1031" s="12" cm="1">
        <f t="array" ref="H1031">PRODUCT(1+G$2:G1031)-1</f>
        <v>0.28697020361787673</v>
      </c>
      <c r="I1031">
        <f>H1031-MAX(H$2:H1031)</f>
        <v>0</v>
      </c>
      <c r="L1031" s="2">
        <f t="shared" ref="L1031:L1094" si="65">(B1031-B$134)/B$134</f>
        <v>0.49863399730986691</v>
      </c>
    </row>
    <row r="1032" spans="1:12" x14ac:dyDescent="0.25">
      <c r="A1032" s="1">
        <v>45408</v>
      </c>
      <c r="B1032">
        <v>506.350006103515</v>
      </c>
      <c r="C1032">
        <v>511.00950012206999</v>
      </c>
      <c r="D1032">
        <v>511.35980224609301</v>
      </c>
      <c r="E1032" t="str">
        <f t="shared" si="62"/>
        <v>Buy</v>
      </c>
      <c r="F1032">
        <f t="shared" si="64"/>
        <v>1</v>
      </c>
      <c r="G1032">
        <f t="shared" si="63"/>
        <v>7.3861759440967002E-3</v>
      </c>
      <c r="H1032" s="12" cm="1">
        <f t="array" ref="H1032">PRODUCT(1+G$2:G1032)-1</f>
        <v>0.29647599197660846</v>
      </c>
      <c r="I1032">
        <f>H1032-MAX(H$2:H1032)</f>
        <v>0</v>
      </c>
      <c r="L1032" s="2">
        <f t="shared" si="65"/>
        <v>0.52015975163021178</v>
      </c>
    </row>
    <row r="1033" spans="1:12" x14ac:dyDescent="0.25">
      <c r="A1033" s="1">
        <v>45411</v>
      </c>
      <c r="B1033">
        <v>510.08999633789</v>
      </c>
      <c r="C1033">
        <v>510.32249908447199</v>
      </c>
      <c r="D1033">
        <v>511.57580200195298</v>
      </c>
      <c r="E1033" t="str">
        <f t="shared" si="62"/>
        <v>Buy</v>
      </c>
      <c r="F1033">
        <f t="shared" si="64"/>
        <v>1</v>
      </c>
      <c r="G1033">
        <f t="shared" si="63"/>
        <v>-2.9994683100656189E-3</v>
      </c>
      <c r="H1033" s="12" cm="1">
        <f t="array" ref="H1033">PRODUCT(1+G$2:G1033)-1</f>
        <v>0.29258725332391378</v>
      </c>
      <c r="I1033">
        <f>H1033-MAX(H$2:H1033)</f>
        <v>-3.8887386526946788E-3</v>
      </c>
      <c r="L1033" s="2">
        <f t="shared" si="65"/>
        <v>0.53138791901888682</v>
      </c>
    </row>
    <row r="1034" spans="1:12" x14ac:dyDescent="0.25">
      <c r="A1034" s="1">
        <v>45412</v>
      </c>
      <c r="B1034">
        <v>508.55999755859301</v>
      </c>
      <c r="C1034">
        <v>509.838499450683</v>
      </c>
      <c r="D1034">
        <v>511.713001708984</v>
      </c>
      <c r="E1034" t="str">
        <f t="shared" si="62"/>
        <v>Buy</v>
      </c>
      <c r="F1034">
        <f t="shared" si="64"/>
        <v>1</v>
      </c>
      <c r="G1034">
        <f t="shared" si="63"/>
        <v>-1.4118280459040214E-2</v>
      </c>
      <c r="H1034" s="12" cm="1">
        <f t="array" ref="H1034">PRODUCT(1+G$2:G1034)-1</f>
        <v>0.27433814396370626</v>
      </c>
      <c r="I1034">
        <f>H1034-MAX(H$2:H1034)</f>
        <v>-2.2137848012902195E-2</v>
      </c>
      <c r="L1034" s="2">
        <f t="shared" si="65"/>
        <v>0.52679456948537229</v>
      </c>
    </row>
    <row r="1035" spans="1:12" x14ac:dyDescent="0.25">
      <c r="A1035" s="1">
        <v>45413</v>
      </c>
      <c r="B1035">
        <v>501.38000488281199</v>
      </c>
      <c r="C1035">
        <v>509.02150115966703</v>
      </c>
      <c r="D1035">
        <v>511.78620178222599</v>
      </c>
      <c r="E1035" t="str">
        <f t="shared" si="62"/>
        <v>Buy</v>
      </c>
      <c r="F1035">
        <f t="shared" si="64"/>
        <v>1</v>
      </c>
      <c r="G1035">
        <f t="shared" si="63"/>
        <v>5.5247297193660935E-3</v>
      </c>
      <c r="H1035" s="12" cm="1">
        <f t="array" ref="H1035">PRODUCT(1+G$2:G1035)-1</f>
        <v>0.28137851778018441</v>
      </c>
      <c r="I1035">
        <f>H1035-MAX(H$2:H1035)</f>
        <v>-1.5097474196424043E-2</v>
      </c>
      <c r="L1035" s="2">
        <f t="shared" si="65"/>
        <v>0.50523885555003833</v>
      </c>
    </row>
    <row r="1036" spans="1:12" x14ac:dyDescent="0.25">
      <c r="A1036" s="1">
        <v>45414</v>
      </c>
      <c r="B1036">
        <v>504.14999389648398</v>
      </c>
      <c r="C1036">
        <v>508.05299987792898</v>
      </c>
      <c r="D1036">
        <v>511.96080139160102</v>
      </c>
      <c r="E1036" t="str">
        <f t="shared" si="62"/>
        <v>Buy</v>
      </c>
      <c r="F1036">
        <f t="shared" si="64"/>
        <v>1</v>
      </c>
      <c r="G1036">
        <f t="shared" si="63"/>
        <v>1.3904611426147018E-2</v>
      </c>
      <c r="H1036" s="12" cm="1">
        <f t="array" ref="H1036">PRODUCT(1+G$2:G1036)-1</f>
        <v>0.29919558815973013</v>
      </c>
      <c r="I1036">
        <f>H1036-MAX(H$2:H1036)</f>
        <v>0</v>
      </c>
      <c r="L1036" s="2">
        <f t="shared" si="65"/>
        <v>0.51355489339004023</v>
      </c>
    </row>
    <row r="1037" spans="1:12" x14ac:dyDescent="0.25">
      <c r="A1037" s="1">
        <v>45415</v>
      </c>
      <c r="B1037">
        <v>511.16000366210898</v>
      </c>
      <c r="C1037">
        <v>507.88799896240198</v>
      </c>
      <c r="D1037">
        <v>512.103801269531</v>
      </c>
      <c r="E1037" t="str">
        <f t="shared" si="62"/>
        <v>Buy</v>
      </c>
      <c r="F1037">
        <f t="shared" si="64"/>
        <v>1</v>
      </c>
      <c r="G1037">
        <f t="shared" si="63"/>
        <v>5.0668994431009567E-3</v>
      </c>
      <c r="H1037" s="12" cm="1">
        <f t="array" ref="H1037">PRODUCT(1+G$2:G1037)-1</f>
        <v>0.30577848156185583</v>
      </c>
      <c r="I1037">
        <f>H1037-MAX(H$2:H1037)</f>
        <v>0</v>
      </c>
      <c r="L1037" s="2">
        <f t="shared" si="65"/>
        <v>0.53460028605477206</v>
      </c>
    </row>
    <row r="1038" spans="1:12" x14ac:dyDescent="0.25">
      <c r="A1038" s="1">
        <v>45418</v>
      </c>
      <c r="B1038">
        <v>513.75</v>
      </c>
      <c r="C1038">
        <v>507.61799774169901</v>
      </c>
      <c r="D1038">
        <v>512.19340148925698</v>
      </c>
      <c r="E1038" t="str">
        <f t="shared" si="62"/>
        <v>Buy</v>
      </c>
      <c r="F1038">
        <f t="shared" si="64"/>
        <v>1</v>
      </c>
      <c r="G1038">
        <f t="shared" si="63"/>
        <v>7.4160536420300816E-3</v>
      </c>
      <c r="H1038" s="12" cm="1">
        <f t="array" ref="H1038">PRODUCT(1+G$2:G1038)-1</f>
        <v>0.31546220482572696</v>
      </c>
      <c r="I1038">
        <f>H1038-MAX(H$2:H1038)</f>
        <v>0</v>
      </c>
      <c r="L1038" s="2">
        <f t="shared" si="65"/>
        <v>0.54237595138956562</v>
      </c>
    </row>
    <row r="1039" spans="1:12" x14ac:dyDescent="0.25">
      <c r="A1039" s="1">
        <v>45419</v>
      </c>
      <c r="B1039">
        <v>517.55999755859295</v>
      </c>
      <c r="C1039">
        <v>507.47099761962801</v>
      </c>
      <c r="D1039">
        <v>512.37860168456996</v>
      </c>
      <c r="E1039" t="str">
        <f t="shared" si="62"/>
        <v>Hold</v>
      </c>
      <c r="F1039">
        <f t="shared" si="64"/>
        <v>1</v>
      </c>
      <c r="G1039">
        <f t="shared" si="63"/>
        <v>-4.4439056415050172E-3</v>
      </c>
      <c r="H1039" s="12" cm="1">
        <f t="array" ref="H1039">PRODUCT(1+G$2:G1039)-1</f>
        <v>0.30961641491251535</v>
      </c>
      <c r="I1039">
        <f>H1039-MAX(H$2:H1039)</f>
        <v>-5.8457899132116076E-3</v>
      </c>
      <c r="L1039" s="2">
        <f t="shared" si="65"/>
        <v>0.55381429418124772</v>
      </c>
    </row>
    <row r="1040" spans="1:12" x14ac:dyDescent="0.25">
      <c r="A1040" s="1">
        <v>45420</v>
      </c>
      <c r="B1040">
        <v>515.260009765625</v>
      </c>
      <c r="C1040">
        <v>507.559999084472</v>
      </c>
      <c r="D1040">
        <v>512.54980163574203</v>
      </c>
      <c r="E1040" t="str">
        <f t="shared" si="62"/>
        <v>Hold</v>
      </c>
      <c r="F1040">
        <f t="shared" si="64"/>
        <v>1</v>
      </c>
      <c r="G1040">
        <f t="shared" si="63"/>
        <v>4.114418113199513E-3</v>
      </c>
      <c r="H1040" s="12" cm="1">
        <f t="array" ref="H1040">PRODUCT(1+G$2:G1040)-1</f>
        <v>0.31500472441137495</v>
      </c>
      <c r="I1040">
        <f>H1040-MAX(H$2:H1040)</f>
        <v>-4.5748041435200726E-4</v>
      </c>
      <c r="L1040" s="2">
        <f t="shared" si="65"/>
        <v>0.54690929007348454</v>
      </c>
    </row>
    <row r="1041" spans="1:12" x14ac:dyDescent="0.25">
      <c r="A1041" s="1">
        <v>45421</v>
      </c>
      <c r="B1041">
        <v>517.38000488281205</v>
      </c>
      <c r="C1041">
        <v>507.64499969482398</v>
      </c>
      <c r="D1041">
        <v>512.79080200195301</v>
      </c>
      <c r="E1041" t="str">
        <f t="shared" si="62"/>
        <v>Hold</v>
      </c>
      <c r="F1041">
        <f t="shared" si="64"/>
        <v>1</v>
      </c>
      <c r="G1041">
        <f t="shared" si="63"/>
        <v>8.5623577138129146E-3</v>
      </c>
      <c r="H1041" s="12" cm="1">
        <f t="array" ref="H1041">PRODUCT(1+G$2:G1041)-1</f>
        <v>0.32626426525713925</v>
      </c>
      <c r="I1041">
        <f>H1041-MAX(H$2:H1041)</f>
        <v>0</v>
      </c>
      <c r="L1041" s="2">
        <f t="shared" si="65"/>
        <v>0.5532739216760395</v>
      </c>
    </row>
    <row r="1042" spans="1:12" x14ac:dyDescent="0.25">
      <c r="A1042" s="1">
        <v>45422</v>
      </c>
      <c r="B1042">
        <v>521.80999755859295</v>
      </c>
      <c r="C1042">
        <v>508.01699981689399</v>
      </c>
      <c r="D1042">
        <v>513.06560180663996</v>
      </c>
      <c r="E1042" t="str">
        <f t="shared" si="62"/>
        <v>Hold</v>
      </c>
      <c r="F1042">
        <f t="shared" si="64"/>
        <v>1</v>
      </c>
      <c r="G1042">
        <f t="shared" si="63"/>
        <v>1.4373047728273624E-3</v>
      </c>
      <c r="H1042" s="12" cm="1">
        <f t="array" ref="H1042">PRODUCT(1+G$2:G1042)-1</f>
        <v>0.32817051121562368</v>
      </c>
      <c r="I1042">
        <f>H1042-MAX(H$2:H1042)</f>
        <v>0</v>
      </c>
      <c r="L1042" s="2">
        <f t="shared" si="65"/>
        <v>0.56657360862096684</v>
      </c>
    </row>
    <row r="1043" spans="1:12" x14ac:dyDescent="0.25">
      <c r="A1043" s="1">
        <v>45425</v>
      </c>
      <c r="B1043">
        <v>522.55999755859295</v>
      </c>
      <c r="C1043">
        <v>508.38849945068301</v>
      </c>
      <c r="D1043">
        <v>513.33720153808497</v>
      </c>
      <c r="E1043" t="str">
        <f t="shared" si="62"/>
        <v>Hold</v>
      </c>
      <c r="F1043">
        <f t="shared" si="64"/>
        <v>1</v>
      </c>
      <c r="G1043">
        <f t="shared" si="63"/>
        <v>-2.7748243528118964E-3</v>
      </c>
      <c r="H1043" s="12" cm="1">
        <f t="array" ref="H1043">PRODUCT(1+G$2:G1043)-1</f>
        <v>0.32448507133641602</v>
      </c>
      <c r="I1043">
        <f>H1043-MAX(H$2:H1043)</f>
        <v>-3.6854398792076637E-3</v>
      </c>
      <c r="L1043" s="2">
        <f t="shared" si="65"/>
        <v>0.56882525234562309</v>
      </c>
    </row>
    <row r="1044" spans="1:12" x14ac:dyDescent="0.25">
      <c r="A1044" s="1">
        <v>45426</v>
      </c>
      <c r="B1044">
        <v>521.10998535156205</v>
      </c>
      <c r="C1044">
        <v>509.19699859619101</v>
      </c>
      <c r="D1044">
        <v>513.51880065917896</v>
      </c>
      <c r="E1044" t="str">
        <f t="shared" si="62"/>
        <v>Hold</v>
      </c>
      <c r="F1044">
        <f t="shared" si="64"/>
        <v>1</v>
      </c>
      <c r="G1044">
        <f t="shared" si="63"/>
        <v>9.0576497686886259E-3</v>
      </c>
      <c r="H1044" s="12" cm="1">
        <f t="array" ref="H1044">PRODUCT(1+G$2:G1044)-1</f>
        <v>0.3364817932364379</v>
      </c>
      <c r="I1044">
        <f>H1044-MAX(H$2:H1044)</f>
        <v>0</v>
      </c>
      <c r="L1044" s="2">
        <f t="shared" si="65"/>
        <v>0.56447203783010824</v>
      </c>
    </row>
    <row r="1045" spans="1:12" x14ac:dyDescent="0.25">
      <c r="A1045" s="1">
        <v>45427</v>
      </c>
      <c r="B1045">
        <v>525.83001708984295</v>
      </c>
      <c r="C1045">
        <v>510.18600006103497</v>
      </c>
      <c r="D1045">
        <v>513.83060119628897</v>
      </c>
      <c r="E1045" t="str">
        <f t="shared" si="62"/>
        <v>Hold</v>
      </c>
      <c r="F1045">
        <f t="shared" si="64"/>
        <v>1</v>
      </c>
      <c r="G1045">
        <f t="shared" si="63"/>
        <v>7.7020855815409127E-3</v>
      </c>
      <c r="H1045" s="12" cm="1">
        <f t="array" ref="H1045">PRODUCT(1+G$2:G1045)-1</f>
        <v>0.34677549038611621</v>
      </c>
      <c r="I1045">
        <f>H1045-MAX(H$2:H1045)</f>
        <v>0</v>
      </c>
      <c r="L1045" s="2">
        <f t="shared" si="65"/>
        <v>0.57864247762167986</v>
      </c>
    </row>
    <row r="1046" spans="1:12" x14ac:dyDescent="0.25">
      <c r="A1046" s="1">
        <v>45428</v>
      </c>
      <c r="B1046">
        <v>529.88000488281205</v>
      </c>
      <c r="C1046">
        <v>511.58099975585901</v>
      </c>
      <c r="D1046">
        <v>514.21720153808496</v>
      </c>
      <c r="E1046" t="str">
        <f t="shared" si="62"/>
        <v>Hold</v>
      </c>
      <c r="F1046">
        <f t="shared" si="64"/>
        <v>1</v>
      </c>
      <c r="G1046">
        <f t="shared" si="63"/>
        <v>-2.0193389340209832E-3</v>
      </c>
      <c r="H1046" s="12" cm="1">
        <f t="array" ref="H1046">PRODUCT(1+G$2:G1046)-1</f>
        <v>0.34405589420299432</v>
      </c>
      <c r="I1046">
        <f>H1046-MAX(H$2:H1046)</f>
        <v>-2.7195961831218973E-3</v>
      </c>
      <c r="L1046" s="2">
        <f t="shared" si="65"/>
        <v>0.59080131708697792</v>
      </c>
    </row>
    <row r="1047" spans="1:12" x14ac:dyDescent="0.25">
      <c r="A1047" s="1">
        <v>45429</v>
      </c>
      <c r="B1047">
        <v>528.80999755859295</v>
      </c>
      <c r="C1047">
        <v>513.04949951171795</v>
      </c>
      <c r="D1047">
        <v>514.53060119628901</v>
      </c>
      <c r="E1047" t="str">
        <f t="shared" si="62"/>
        <v>Hold</v>
      </c>
      <c r="F1047">
        <f t="shared" si="64"/>
        <v>1</v>
      </c>
      <c r="G1047">
        <f t="shared" si="63"/>
        <v>1.4372076343749339E-3</v>
      </c>
      <c r="H1047" s="12" cm="1">
        <f t="array" ref="H1047">PRODUCT(1+G$2:G1047)-1</f>
        <v>0.3459875815951694</v>
      </c>
      <c r="I1047">
        <f>H1047-MAX(H$2:H1047)</f>
        <v>-7.8790879094681188E-4</v>
      </c>
      <c r="L1047" s="2">
        <f t="shared" si="65"/>
        <v>0.58758895005109224</v>
      </c>
    </row>
    <row r="1048" spans="1:12" x14ac:dyDescent="0.25">
      <c r="A1048" s="1">
        <v>45432</v>
      </c>
      <c r="B1048">
        <v>529.57000732421795</v>
      </c>
      <c r="C1048">
        <v>514.636500549316</v>
      </c>
      <c r="D1048">
        <v>514.81280090331995</v>
      </c>
      <c r="E1048" t="str">
        <f t="shared" si="62"/>
        <v>Sell</v>
      </c>
      <c r="F1048">
        <f t="shared" si="64"/>
        <v>0</v>
      </c>
      <c r="G1048">
        <f t="shared" si="63"/>
        <v>0</v>
      </c>
      <c r="H1048" s="12" cm="1">
        <f t="array" ref="H1048">PRODUCT(1+G$2:G1048)-1</f>
        <v>0.3459875815951694</v>
      </c>
      <c r="I1048">
        <f>H1048-MAX(H$2:H1048)</f>
        <v>-7.8790879094681188E-4</v>
      </c>
      <c r="L1048" s="2">
        <f t="shared" si="65"/>
        <v>0.58987064501035502</v>
      </c>
    </row>
    <row r="1049" spans="1:12" x14ac:dyDescent="0.25">
      <c r="A1049" s="1">
        <v>45433</v>
      </c>
      <c r="B1049">
        <v>529.280029296875</v>
      </c>
      <c r="C1049">
        <v>516.01150207519504</v>
      </c>
      <c r="D1049">
        <v>515.18880126953104</v>
      </c>
      <c r="E1049" t="str">
        <f t="shared" si="62"/>
        <v>Sell</v>
      </c>
      <c r="F1049">
        <f t="shared" si="64"/>
        <v>0</v>
      </c>
      <c r="G1049">
        <f t="shared" si="63"/>
        <v>0</v>
      </c>
      <c r="H1049" s="12" cm="1">
        <f t="array" ref="H1049">PRODUCT(1+G$2:G1049)-1</f>
        <v>0.3459875815951694</v>
      </c>
      <c r="I1049">
        <f>H1049-MAX(H$2:H1049)</f>
        <v>-7.8790879094681188E-4</v>
      </c>
      <c r="L1049" s="2">
        <f t="shared" si="65"/>
        <v>0.5890000754029483</v>
      </c>
    </row>
    <row r="1050" spans="1:12" x14ac:dyDescent="0.25">
      <c r="A1050" s="1">
        <v>45434</v>
      </c>
      <c r="B1050">
        <v>530.65002441406205</v>
      </c>
      <c r="C1050">
        <v>517.21600341796795</v>
      </c>
      <c r="D1050">
        <v>515.53280151367096</v>
      </c>
      <c r="E1050" t="str">
        <f t="shared" si="62"/>
        <v>Sell</v>
      </c>
      <c r="F1050">
        <f t="shared" si="64"/>
        <v>0</v>
      </c>
      <c r="G1050">
        <f t="shared" si="63"/>
        <v>0</v>
      </c>
      <c r="H1050" s="12" cm="1">
        <f t="array" ref="H1050">PRODUCT(1+G$2:G1050)-1</f>
        <v>0.3459875815951694</v>
      </c>
      <c r="I1050">
        <f>H1050-MAX(H$2:H1050)</f>
        <v>-7.8790879094681188E-4</v>
      </c>
      <c r="L1050" s="2">
        <f t="shared" si="65"/>
        <v>0.59311306328084701</v>
      </c>
    </row>
    <row r="1051" spans="1:12" x14ac:dyDescent="0.25">
      <c r="A1051" s="1">
        <v>45435</v>
      </c>
      <c r="B1051">
        <v>532.96002197265602</v>
      </c>
      <c r="C1051">
        <v>518.90500488281202</v>
      </c>
      <c r="D1051">
        <v>515.84980224609296</v>
      </c>
      <c r="E1051" t="str">
        <f t="shared" si="62"/>
        <v>Sell</v>
      </c>
      <c r="F1051">
        <f t="shared" si="64"/>
        <v>0</v>
      </c>
      <c r="G1051">
        <f t="shared" si="63"/>
        <v>0</v>
      </c>
      <c r="H1051" s="12" cm="1">
        <f t="array" ref="H1051">PRODUCT(1+G$2:G1051)-1</f>
        <v>0.3459875815951694</v>
      </c>
      <c r="I1051">
        <f>H1051-MAX(H$2:H1051)</f>
        <v>-7.8790879094681188E-4</v>
      </c>
      <c r="L1051" s="2">
        <f t="shared" si="65"/>
        <v>0.60004811862321972</v>
      </c>
    </row>
    <row r="1052" spans="1:12" x14ac:dyDescent="0.25">
      <c r="A1052" s="1">
        <v>45436</v>
      </c>
      <c r="B1052">
        <v>527.84997558593705</v>
      </c>
      <c r="C1052">
        <v>519.98000335693303</v>
      </c>
      <c r="D1052">
        <v>516.06740234375002</v>
      </c>
      <c r="E1052" t="str">
        <f t="shared" si="62"/>
        <v>Sell</v>
      </c>
      <c r="F1052">
        <f t="shared" si="64"/>
        <v>0</v>
      </c>
      <c r="G1052">
        <f t="shared" si="63"/>
        <v>0</v>
      </c>
      <c r="H1052" s="12" cm="1">
        <f t="array" ref="H1052">PRODUCT(1+G$2:G1052)-1</f>
        <v>0.3459875815951694</v>
      </c>
      <c r="I1052">
        <f>H1052-MAX(H$2:H1052)</f>
        <v>-7.8790879094681188E-4</v>
      </c>
      <c r="L1052" s="2">
        <f t="shared" si="65"/>
        <v>0.58470678011740851</v>
      </c>
    </row>
    <row r="1053" spans="1:12" x14ac:dyDescent="0.25">
      <c r="A1053" s="1">
        <v>45440</v>
      </c>
      <c r="B1053">
        <v>530.27001953125</v>
      </c>
      <c r="C1053">
        <v>520.98900451660097</v>
      </c>
      <c r="D1053">
        <v>516.46860290527297</v>
      </c>
      <c r="E1053" t="str">
        <f t="shared" si="62"/>
        <v>Sell</v>
      </c>
      <c r="F1053">
        <f t="shared" si="64"/>
        <v>0</v>
      </c>
      <c r="G1053">
        <f t="shared" si="63"/>
        <v>0</v>
      </c>
      <c r="H1053" s="12" cm="1">
        <f t="array" ref="H1053">PRODUCT(1+G$2:G1053)-1</f>
        <v>0.3459875815951694</v>
      </c>
      <c r="I1053">
        <f>H1053-MAX(H$2:H1053)</f>
        <v>-7.8790879094681188E-4</v>
      </c>
      <c r="L1053" s="2">
        <f t="shared" si="65"/>
        <v>0.59197221580121695</v>
      </c>
    </row>
    <row r="1054" spans="1:12" x14ac:dyDescent="0.25">
      <c r="A1054" s="1">
        <v>45441</v>
      </c>
      <c r="B1054">
        <v>525.67999267578102</v>
      </c>
      <c r="C1054">
        <v>521.84500427245996</v>
      </c>
      <c r="D1054">
        <v>516.70220275878899</v>
      </c>
      <c r="E1054" t="str">
        <f t="shared" si="62"/>
        <v>Sell</v>
      </c>
      <c r="F1054">
        <f t="shared" si="64"/>
        <v>0</v>
      </c>
      <c r="G1054">
        <f t="shared" si="63"/>
        <v>0</v>
      </c>
      <c r="H1054" s="12" cm="1">
        <f t="array" ref="H1054">PRODUCT(1+G$2:G1054)-1</f>
        <v>0.3459875815951694</v>
      </c>
      <c r="I1054">
        <f>H1054-MAX(H$2:H1054)</f>
        <v>-7.8790879094681188E-4</v>
      </c>
      <c r="L1054" s="2">
        <f t="shared" si="65"/>
        <v>0.57819207558105623</v>
      </c>
    </row>
    <row r="1055" spans="1:12" x14ac:dyDescent="0.25">
      <c r="A1055" s="1">
        <v>45442</v>
      </c>
      <c r="B1055">
        <v>524.52001953125</v>
      </c>
      <c r="C1055">
        <v>523.00200500488199</v>
      </c>
      <c r="D1055">
        <v>516.94960266113196</v>
      </c>
      <c r="E1055" t="str">
        <f t="shared" si="62"/>
        <v>Sell</v>
      </c>
      <c r="F1055">
        <f t="shared" si="64"/>
        <v>0</v>
      </c>
      <c r="G1055">
        <f t="shared" si="63"/>
        <v>0</v>
      </c>
      <c r="H1055" s="12" cm="1">
        <f t="array" ref="H1055">PRODUCT(1+G$2:G1055)-1</f>
        <v>0.3459875815951694</v>
      </c>
      <c r="I1055">
        <f>H1055-MAX(H$2:H1055)</f>
        <v>-7.8790879094681188E-4</v>
      </c>
      <c r="L1055" s="2">
        <f t="shared" si="65"/>
        <v>0.57470961391218534</v>
      </c>
    </row>
    <row r="1056" spans="1:12" x14ac:dyDescent="0.25">
      <c r="A1056" s="1">
        <v>45443</v>
      </c>
      <c r="B1056">
        <v>523.59002685546795</v>
      </c>
      <c r="C1056">
        <v>523.97400665283203</v>
      </c>
      <c r="D1056">
        <v>517.10600280761696</v>
      </c>
      <c r="E1056" t="str">
        <f t="shared" si="62"/>
        <v>Sell</v>
      </c>
      <c r="F1056">
        <f t="shared" si="64"/>
        <v>0</v>
      </c>
      <c r="G1056">
        <f t="shared" si="63"/>
        <v>0</v>
      </c>
      <c r="H1056" s="12" cm="1">
        <f t="array" ref="H1056">PRODUCT(1+G$2:G1056)-1</f>
        <v>0.3459875815951694</v>
      </c>
      <c r="I1056">
        <f>H1056-MAX(H$2:H1056)</f>
        <v>-7.8790879094681188E-4</v>
      </c>
      <c r="L1056" s="2">
        <f t="shared" si="65"/>
        <v>0.57191759768231742</v>
      </c>
    </row>
    <row r="1057" spans="1:12" x14ac:dyDescent="0.25">
      <c r="A1057" s="1">
        <v>45446</v>
      </c>
      <c r="B1057">
        <v>529.02001953125</v>
      </c>
      <c r="C1057">
        <v>524.86700744628899</v>
      </c>
      <c r="D1057">
        <v>517.21860290527297</v>
      </c>
      <c r="E1057" t="str">
        <f t="shared" si="62"/>
        <v>Sell</v>
      </c>
      <c r="F1057">
        <f t="shared" si="64"/>
        <v>0</v>
      </c>
      <c r="G1057">
        <f t="shared" si="63"/>
        <v>0</v>
      </c>
      <c r="H1057" s="12" cm="1">
        <f t="array" ref="H1057">PRODUCT(1+G$2:G1057)-1</f>
        <v>0.3459875815951694</v>
      </c>
      <c r="I1057">
        <f>H1057-MAX(H$2:H1057)</f>
        <v>-7.8790879094681188E-4</v>
      </c>
      <c r="L1057" s="2">
        <f t="shared" si="65"/>
        <v>0.58821947626012316</v>
      </c>
    </row>
    <row r="1058" spans="1:12" x14ac:dyDescent="0.25">
      <c r="A1058" s="1">
        <v>45447</v>
      </c>
      <c r="B1058">
        <v>526.46002197265602</v>
      </c>
      <c r="C1058">
        <v>525.50250854492106</v>
      </c>
      <c r="D1058">
        <v>517.30560363769496</v>
      </c>
      <c r="E1058" t="str">
        <f t="shared" si="62"/>
        <v>Sell</v>
      </c>
      <c r="F1058">
        <f t="shared" si="64"/>
        <v>0</v>
      </c>
      <c r="G1058">
        <f t="shared" si="63"/>
        <v>0</v>
      </c>
      <c r="H1058" s="12" cm="1">
        <f t="array" ref="H1058">PRODUCT(1+G$2:G1058)-1</f>
        <v>0.3459875815951694</v>
      </c>
      <c r="I1058">
        <f>H1058-MAX(H$2:H1058)</f>
        <v>-7.8790879094681188E-4</v>
      </c>
      <c r="L1058" s="2">
        <f t="shared" si="65"/>
        <v>0.58053387300953174</v>
      </c>
    </row>
    <row r="1059" spans="1:12" x14ac:dyDescent="0.25">
      <c r="A1059" s="1">
        <v>45448</v>
      </c>
      <c r="B1059">
        <v>530.77001953125</v>
      </c>
      <c r="C1059">
        <v>526.16300964355401</v>
      </c>
      <c r="D1059">
        <v>517.52500427246002</v>
      </c>
      <c r="E1059" t="str">
        <f t="shared" si="62"/>
        <v>Sell</v>
      </c>
      <c r="F1059">
        <f t="shared" si="64"/>
        <v>0</v>
      </c>
      <c r="G1059">
        <f t="shared" si="63"/>
        <v>0</v>
      </c>
      <c r="H1059" s="12" cm="1">
        <f t="array" ref="H1059">PRODUCT(1+G$2:G1059)-1</f>
        <v>0.3459875815951694</v>
      </c>
      <c r="I1059">
        <f>H1059-MAX(H$2:H1059)</f>
        <v>-7.8790879094681188E-4</v>
      </c>
      <c r="L1059" s="2">
        <f t="shared" si="65"/>
        <v>0.59347331161765449</v>
      </c>
    </row>
    <row r="1060" spans="1:12" x14ac:dyDescent="0.25">
      <c r="A1060" s="1">
        <v>45449</v>
      </c>
      <c r="B1060">
        <v>534.97998046875</v>
      </c>
      <c r="C1060">
        <v>527.14900817871001</v>
      </c>
      <c r="D1060">
        <v>517.80000427246</v>
      </c>
      <c r="E1060" t="str">
        <f t="shared" si="62"/>
        <v>Sell</v>
      </c>
      <c r="F1060">
        <f t="shared" si="64"/>
        <v>0</v>
      </c>
      <c r="G1060">
        <f t="shared" si="63"/>
        <v>0</v>
      </c>
      <c r="H1060" s="12" cm="1">
        <f t="array" ref="H1060">PRODUCT(1+G$2:G1060)-1</f>
        <v>0.3459875815951694</v>
      </c>
      <c r="I1060">
        <f>H1060-MAX(H$2:H1060)</f>
        <v>-7.8790879094681188E-4</v>
      </c>
      <c r="L1060" s="2">
        <f t="shared" si="65"/>
        <v>0.60611242111894792</v>
      </c>
    </row>
    <row r="1061" spans="1:12" x14ac:dyDescent="0.25">
      <c r="A1061" s="1">
        <v>45450</v>
      </c>
      <c r="B1061">
        <v>533.65997314453102</v>
      </c>
      <c r="C1061">
        <v>527.96300659179599</v>
      </c>
      <c r="D1061">
        <v>518.03900329589806</v>
      </c>
      <c r="E1061" t="str">
        <f t="shared" si="62"/>
        <v>Sell</v>
      </c>
      <c r="F1061">
        <f t="shared" si="64"/>
        <v>0</v>
      </c>
      <c r="G1061">
        <f t="shared" si="63"/>
        <v>0</v>
      </c>
      <c r="H1061" s="12" cm="1">
        <f t="array" ref="H1061">PRODUCT(1+G$2:G1061)-1</f>
        <v>0.3459875815951694</v>
      </c>
      <c r="I1061">
        <f>H1061-MAX(H$2:H1061)</f>
        <v>-7.8790879094681188E-4</v>
      </c>
      <c r="L1061" s="2">
        <f t="shared" si="65"/>
        <v>0.60214950617484386</v>
      </c>
    </row>
    <row r="1062" spans="1:12" x14ac:dyDescent="0.25">
      <c r="A1062" s="1">
        <v>45453</v>
      </c>
      <c r="B1062">
        <v>533.17999267578102</v>
      </c>
      <c r="C1062">
        <v>528.53150634765598</v>
      </c>
      <c r="D1062">
        <v>518.23840270996004</v>
      </c>
      <c r="E1062" t="str">
        <f t="shared" si="62"/>
        <v>Sell</v>
      </c>
      <c r="F1062">
        <f t="shared" si="64"/>
        <v>0</v>
      </c>
      <c r="G1062">
        <f t="shared" si="63"/>
        <v>0</v>
      </c>
      <c r="H1062" s="12" cm="1">
        <f t="array" ref="H1062">PRODUCT(1+G$2:G1062)-1</f>
        <v>0.3459875815951694</v>
      </c>
      <c r="I1062">
        <f>H1062-MAX(H$2:H1062)</f>
        <v>-7.8790879094681188E-4</v>
      </c>
      <c r="L1062" s="2">
        <f t="shared" si="65"/>
        <v>0.60070851282761917</v>
      </c>
    </row>
    <row r="1063" spans="1:12" x14ac:dyDescent="0.25">
      <c r="A1063" s="1">
        <v>45454</v>
      </c>
      <c r="B1063">
        <v>534.07000732421795</v>
      </c>
      <c r="C1063">
        <v>529.107006835937</v>
      </c>
      <c r="D1063">
        <v>518.44320251464796</v>
      </c>
      <c r="E1063" t="str">
        <f t="shared" si="62"/>
        <v>Sell</v>
      </c>
      <c r="F1063">
        <f t="shared" si="64"/>
        <v>0</v>
      </c>
      <c r="G1063">
        <f t="shared" si="63"/>
        <v>0</v>
      </c>
      <c r="H1063" s="12" cm="1">
        <f t="array" ref="H1063">PRODUCT(1+G$2:G1063)-1</f>
        <v>0.3459875815951694</v>
      </c>
      <c r="I1063">
        <f>H1063-MAX(H$2:H1063)</f>
        <v>-7.8790879094681188E-4</v>
      </c>
      <c r="L1063" s="2">
        <f t="shared" si="65"/>
        <v>0.60338050735829274</v>
      </c>
    </row>
    <row r="1064" spans="1:12" x14ac:dyDescent="0.25">
      <c r="A1064" s="1">
        <v>45455</v>
      </c>
      <c r="B1064">
        <v>541.63000488281205</v>
      </c>
      <c r="C1064">
        <v>530.13300781249995</v>
      </c>
      <c r="D1064">
        <v>518.91100280761702</v>
      </c>
      <c r="E1064" t="str">
        <f t="shared" si="62"/>
        <v>Sell</v>
      </c>
      <c r="F1064">
        <f t="shared" si="64"/>
        <v>0</v>
      </c>
      <c r="G1064">
        <f t="shared" si="63"/>
        <v>0</v>
      </c>
      <c r="H1064" s="12" cm="1">
        <f t="array" ref="H1064">PRODUCT(1+G$2:G1064)-1</f>
        <v>0.3459875815951694</v>
      </c>
      <c r="I1064">
        <f>H1064-MAX(H$2:H1064)</f>
        <v>-7.8790879094681188E-4</v>
      </c>
      <c r="L1064" s="2">
        <f t="shared" si="65"/>
        <v>0.62607706877325986</v>
      </c>
    </row>
    <row r="1065" spans="1:12" x14ac:dyDescent="0.25">
      <c r="A1065" s="1">
        <v>45456</v>
      </c>
      <c r="B1065">
        <v>543.15002441406205</v>
      </c>
      <c r="C1065">
        <v>530.99900817871003</v>
      </c>
      <c r="D1065">
        <v>519.41960388183497</v>
      </c>
      <c r="E1065" t="str">
        <f t="shared" si="62"/>
        <v>Sell</v>
      </c>
      <c r="F1065">
        <f t="shared" si="64"/>
        <v>0</v>
      </c>
      <c r="G1065">
        <f t="shared" si="63"/>
        <v>0</v>
      </c>
      <c r="H1065" s="12" cm="1">
        <f t="array" ref="H1065">PRODUCT(1+G$2:G1065)-1</f>
        <v>0.3459875815951694</v>
      </c>
      <c r="I1065">
        <f>H1065-MAX(H$2:H1065)</f>
        <v>-7.8790879094681188E-4</v>
      </c>
      <c r="L1065" s="2">
        <f t="shared" si="65"/>
        <v>0.63064045869178531</v>
      </c>
    </row>
    <row r="1066" spans="1:12" x14ac:dyDescent="0.25">
      <c r="A1066" s="1">
        <v>45457</v>
      </c>
      <c r="B1066">
        <v>540.88000488281205</v>
      </c>
      <c r="C1066">
        <v>531.54900817870998</v>
      </c>
      <c r="D1066">
        <v>519.76680358886699</v>
      </c>
      <c r="E1066" t="str">
        <f t="shared" si="62"/>
        <v>Sell</v>
      </c>
      <c r="F1066">
        <f t="shared" si="64"/>
        <v>0</v>
      </c>
      <c r="G1066">
        <f t="shared" si="63"/>
        <v>0</v>
      </c>
      <c r="H1066" s="12" cm="1">
        <f t="array" ref="H1066">PRODUCT(1+G$2:G1066)-1</f>
        <v>0.3459875815951694</v>
      </c>
      <c r="I1066">
        <f>H1066-MAX(H$2:H1066)</f>
        <v>-7.8790879094681188E-4</v>
      </c>
      <c r="L1066" s="2">
        <f t="shared" si="65"/>
        <v>0.62382542504860361</v>
      </c>
    </row>
    <row r="1067" spans="1:12" x14ac:dyDescent="0.25">
      <c r="A1067" s="1">
        <v>45460</v>
      </c>
      <c r="B1067">
        <v>542.08001708984295</v>
      </c>
      <c r="C1067">
        <v>532.21250915527298</v>
      </c>
      <c r="D1067">
        <v>520.31920349121003</v>
      </c>
      <c r="E1067" t="str">
        <f t="shared" si="62"/>
        <v>Sell</v>
      </c>
      <c r="F1067">
        <f t="shared" si="64"/>
        <v>0</v>
      </c>
      <c r="G1067">
        <f t="shared" si="63"/>
        <v>0</v>
      </c>
      <c r="H1067" s="12" cm="1">
        <f t="array" ref="H1067">PRODUCT(1+G$2:G1067)-1</f>
        <v>0.3459875815951694</v>
      </c>
      <c r="I1067">
        <f>H1067-MAX(H$2:H1067)</f>
        <v>-7.8790879094681188E-4</v>
      </c>
      <c r="L1067" s="2">
        <f t="shared" si="65"/>
        <v>0.62742809165589974</v>
      </c>
    </row>
    <row r="1068" spans="1:12" x14ac:dyDescent="0.25">
      <c r="A1068" s="1">
        <v>45461</v>
      </c>
      <c r="B1068">
        <v>547.15997314453102</v>
      </c>
      <c r="C1068">
        <v>533.09200744628902</v>
      </c>
      <c r="D1068">
        <v>520.87940246582002</v>
      </c>
      <c r="E1068" t="str">
        <f t="shared" si="62"/>
        <v>Sell</v>
      </c>
      <c r="F1068">
        <f t="shared" si="64"/>
        <v>0</v>
      </c>
      <c r="G1068">
        <f t="shared" si="63"/>
        <v>0</v>
      </c>
      <c r="H1068" s="12" cm="1">
        <f t="array" ref="H1068">PRODUCT(1+G$2:G1068)-1</f>
        <v>0.3459875815951694</v>
      </c>
      <c r="I1068">
        <f>H1068-MAX(H$2:H1068)</f>
        <v>-7.8790879094681188E-4</v>
      </c>
      <c r="L1068" s="2">
        <f t="shared" si="65"/>
        <v>0.64267909321865724</v>
      </c>
    </row>
    <row r="1069" spans="1:12" x14ac:dyDescent="0.25">
      <c r="A1069" s="1">
        <v>45463</v>
      </c>
      <c r="B1069">
        <v>549.44000244140602</v>
      </c>
      <c r="C1069">
        <v>534.10000610351506</v>
      </c>
      <c r="D1069">
        <v>521.45820251464795</v>
      </c>
      <c r="E1069" t="str">
        <f t="shared" si="62"/>
        <v>Sell</v>
      </c>
      <c r="F1069">
        <f t="shared" si="64"/>
        <v>0</v>
      </c>
      <c r="G1069">
        <f t="shared" si="63"/>
        <v>0</v>
      </c>
      <c r="H1069" s="12" cm="1">
        <f t="array" ref="H1069">PRODUCT(1+G$2:G1069)-1</f>
        <v>0.3459875815951694</v>
      </c>
      <c r="I1069">
        <f>H1069-MAX(H$2:H1069)</f>
        <v>-7.8790879094681188E-4</v>
      </c>
      <c r="L1069" s="2">
        <f t="shared" si="65"/>
        <v>0.64952417809644547</v>
      </c>
    </row>
    <row r="1070" spans="1:12" x14ac:dyDescent="0.25">
      <c r="A1070" s="1">
        <v>45464</v>
      </c>
      <c r="B1070">
        <v>544.40002441406205</v>
      </c>
      <c r="C1070">
        <v>534.78750610351506</v>
      </c>
      <c r="D1070">
        <v>522.07660339355402</v>
      </c>
      <c r="E1070" t="str">
        <f t="shared" si="62"/>
        <v>Sell</v>
      </c>
      <c r="F1070">
        <f t="shared" si="64"/>
        <v>0</v>
      </c>
      <c r="G1070">
        <f t="shared" si="63"/>
        <v>0</v>
      </c>
      <c r="H1070" s="12" cm="1">
        <f t="array" ref="H1070">PRODUCT(1+G$2:G1070)-1</f>
        <v>0.3459875815951694</v>
      </c>
      <c r="I1070">
        <f>H1070-MAX(H$2:H1070)</f>
        <v>-7.8790879094681188E-4</v>
      </c>
      <c r="L1070" s="2">
        <f t="shared" si="65"/>
        <v>0.63439319823287921</v>
      </c>
    </row>
    <row r="1071" spans="1:12" x14ac:dyDescent="0.25">
      <c r="A1071" s="1">
        <v>45467</v>
      </c>
      <c r="B1071">
        <v>544.33001708984295</v>
      </c>
      <c r="C1071">
        <v>535.35600585937402</v>
      </c>
      <c r="D1071">
        <v>522.64960388183499</v>
      </c>
      <c r="E1071" t="str">
        <f t="shared" si="62"/>
        <v>Sell</v>
      </c>
      <c r="F1071">
        <f t="shared" si="64"/>
        <v>0</v>
      </c>
      <c r="G1071">
        <f t="shared" si="63"/>
        <v>0</v>
      </c>
      <c r="H1071" s="12" cm="1">
        <f t="array" ref="H1071">PRODUCT(1+G$2:G1071)-1</f>
        <v>0.3459875815951694</v>
      </c>
      <c r="I1071">
        <f>H1071-MAX(H$2:H1071)</f>
        <v>-7.8790879094681188E-4</v>
      </c>
      <c r="L1071" s="2">
        <f t="shared" si="65"/>
        <v>0.6341830228298686</v>
      </c>
    </row>
    <row r="1072" spans="1:12" x14ac:dyDescent="0.25">
      <c r="A1072" s="1">
        <v>45468</v>
      </c>
      <c r="B1072">
        <v>543.989990234375</v>
      </c>
      <c r="C1072">
        <v>536.16300659179603</v>
      </c>
      <c r="D1072">
        <v>523.24200378417902</v>
      </c>
      <c r="E1072" t="str">
        <f t="shared" si="62"/>
        <v>Sell</v>
      </c>
      <c r="F1072">
        <f t="shared" si="64"/>
        <v>0</v>
      </c>
      <c r="G1072">
        <f t="shared" si="63"/>
        <v>0</v>
      </c>
      <c r="H1072" s="12" cm="1">
        <f t="array" ref="H1072">PRODUCT(1+G$2:G1072)-1</f>
        <v>0.3459875815951694</v>
      </c>
      <c r="I1072">
        <f>H1072-MAX(H$2:H1072)</f>
        <v>-7.8790879094681188E-4</v>
      </c>
      <c r="L1072" s="2">
        <f t="shared" si="65"/>
        <v>0.63316219704942989</v>
      </c>
    </row>
    <row r="1073" spans="1:12" x14ac:dyDescent="0.25">
      <c r="A1073" s="1">
        <v>45469</v>
      </c>
      <c r="B1073">
        <v>543.69000244140602</v>
      </c>
      <c r="C1073">
        <v>536.83400573730398</v>
      </c>
      <c r="D1073">
        <v>523.81320373535095</v>
      </c>
      <c r="E1073" t="str">
        <f t="shared" si="62"/>
        <v>Sell</v>
      </c>
      <c r="F1073">
        <f t="shared" si="64"/>
        <v>0</v>
      </c>
      <c r="G1073">
        <f t="shared" si="63"/>
        <v>0</v>
      </c>
      <c r="H1073" s="12" cm="1">
        <f t="array" ref="H1073">PRODUCT(1+G$2:G1073)-1</f>
        <v>0.3459875815951694</v>
      </c>
      <c r="I1073">
        <f>H1073-MAX(H$2:H1073)</f>
        <v>-7.8790879094681188E-4</v>
      </c>
      <c r="L1073" s="2">
        <f t="shared" si="65"/>
        <v>0.63226157620741386</v>
      </c>
    </row>
    <row r="1074" spans="1:12" x14ac:dyDescent="0.25">
      <c r="A1074" s="1">
        <v>45470</v>
      </c>
      <c r="B1074">
        <v>545.36999511718705</v>
      </c>
      <c r="C1074">
        <v>537.818505859374</v>
      </c>
      <c r="D1074">
        <v>524.62180358886701</v>
      </c>
      <c r="E1074" t="str">
        <f t="shared" si="62"/>
        <v>Sell</v>
      </c>
      <c r="F1074">
        <f t="shared" si="64"/>
        <v>0</v>
      </c>
      <c r="G1074">
        <f t="shared" si="63"/>
        <v>0</v>
      </c>
      <c r="H1074" s="12" cm="1">
        <f t="array" ref="H1074">PRODUCT(1+G$2:G1074)-1</f>
        <v>0.3459875815951694</v>
      </c>
      <c r="I1074">
        <f>H1074-MAX(H$2:H1074)</f>
        <v>-7.8790879094681188E-4</v>
      </c>
      <c r="L1074" s="2">
        <f t="shared" si="65"/>
        <v>0.63730523616193502</v>
      </c>
    </row>
    <row r="1075" spans="1:12" x14ac:dyDescent="0.25">
      <c r="A1075" s="1">
        <v>45471</v>
      </c>
      <c r="B1075">
        <v>547.15997314453102</v>
      </c>
      <c r="C1075">
        <v>538.95050354003899</v>
      </c>
      <c r="D1075">
        <v>525.44400329589803</v>
      </c>
      <c r="E1075" t="str">
        <f t="shared" si="62"/>
        <v>Sell</v>
      </c>
      <c r="F1075">
        <f t="shared" si="64"/>
        <v>0</v>
      </c>
      <c r="G1075">
        <f t="shared" si="63"/>
        <v>0</v>
      </c>
      <c r="H1075" s="12" cm="1">
        <f t="array" ref="H1075">PRODUCT(1+G$2:G1075)-1</f>
        <v>0.3459875815951694</v>
      </c>
      <c r="I1075">
        <f>H1075-MAX(H$2:H1075)</f>
        <v>-7.8790879094681188E-4</v>
      </c>
      <c r="L1075" s="2">
        <f t="shared" si="65"/>
        <v>0.64267909321865724</v>
      </c>
    </row>
    <row r="1076" spans="1:12" x14ac:dyDescent="0.25">
      <c r="A1076" s="1">
        <v>45474</v>
      </c>
      <c r="B1076">
        <v>545.63000488281205</v>
      </c>
      <c r="C1076">
        <v>540.05250244140598</v>
      </c>
      <c r="D1076">
        <v>526.31700317382797</v>
      </c>
      <c r="E1076" t="str">
        <f t="shared" si="62"/>
        <v>Sell</v>
      </c>
      <c r="F1076">
        <f t="shared" si="64"/>
        <v>0</v>
      </c>
      <c r="G1076">
        <f t="shared" si="63"/>
        <v>0</v>
      </c>
      <c r="H1076" s="12" cm="1">
        <f t="array" ref="H1076">PRODUCT(1+G$2:G1076)-1</f>
        <v>0.3459875815951694</v>
      </c>
      <c r="I1076">
        <f>H1076-MAX(H$2:H1076)</f>
        <v>-7.8790879094681188E-4</v>
      </c>
      <c r="L1076" s="2">
        <f t="shared" si="65"/>
        <v>0.63808583530476015</v>
      </c>
    </row>
    <row r="1077" spans="1:12" x14ac:dyDescent="0.25">
      <c r="A1077" s="1">
        <v>45475</v>
      </c>
      <c r="B1077">
        <v>543.70001220703102</v>
      </c>
      <c r="C1077">
        <v>540.78650207519502</v>
      </c>
      <c r="D1077">
        <v>527.20220336913997</v>
      </c>
      <c r="E1077" t="str">
        <f t="shared" si="62"/>
        <v>Sell</v>
      </c>
      <c r="F1077">
        <f t="shared" si="64"/>
        <v>0</v>
      </c>
      <c r="G1077">
        <f t="shared" si="63"/>
        <v>0</v>
      </c>
      <c r="H1077" s="12" cm="1">
        <f t="array" ref="H1077">PRODUCT(1+G$2:G1077)-1</f>
        <v>0.3459875815951694</v>
      </c>
      <c r="I1077">
        <f>H1077-MAX(H$2:H1077)</f>
        <v>-7.8790879094681188E-4</v>
      </c>
      <c r="L1077" s="2">
        <f t="shared" si="65"/>
        <v>0.63229162744202017</v>
      </c>
    </row>
    <row r="1078" spans="1:12" x14ac:dyDescent="0.25">
      <c r="A1078" s="1">
        <v>45476</v>
      </c>
      <c r="B1078">
        <v>548.69000244140602</v>
      </c>
      <c r="C1078">
        <v>541.89800109863199</v>
      </c>
      <c r="D1078">
        <v>528.21940368652304</v>
      </c>
      <c r="E1078" t="str">
        <f t="shared" si="62"/>
        <v>Sell</v>
      </c>
      <c r="F1078">
        <f t="shared" si="64"/>
        <v>0</v>
      </c>
      <c r="G1078">
        <f t="shared" si="63"/>
        <v>0</v>
      </c>
      <c r="H1078" s="12" cm="1">
        <f t="array" ref="H1078">PRODUCT(1+G$2:G1078)-1</f>
        <v>0.3459875815951694</v>
      </c>
      <c r="I1078">
        <f>H1078-MAX(H$2:H1078)</f>
        <v>-7.8790879094681188E-4</v>
      </c>
      <c r="L1078" s="2">
        <f t="shared" si="65"/>
        <v>0.64727253437178911</v>
      </c>
    </row>
    <row r="1079" spans="1:12" x14ac:dyDescent="0.25">
      <c r="A1079" s="1">
        <v>45478</v>
      </c>
      <c r="B1079">
        <v>551.77001953125</v>
      </c>
      <c r="C1079">
        <v>542.94800109863195</v>
      </c>
      <c r="D1079">
        <v>529.21920410156201</v>
      </c>
      <c r="E1079" t="str">
        <f t="shared" si="62"/>
        <v>Sell</v>
      </c>
      <c r="F1079">
        <f t="shared" si="64"/>
        <v>0</v>
      </c>
      <c r="G1079">
        <f t="shared" si="63"/>
        <v>0</v>
      </c>
      <c r="H1079" s="12" cm="1">
        <f t="array" ref="H1079">PRODUCT(1+G$2:G1079)-1</f>
        <v>0.3459875815951694</v>
      </c>
      <c r="I1079">
        <f>H1079-MAX(H$2:H1079)</f>
        <v>-7.8790879094681188E-4</v>
      </c>
      <c r="L1079" s="2">
        <f t="shared" si="65"/>
        <v>0.65651933590803091</v>
      </c>
    </row>
    <row r="1080" spans="1:12" x14ac:dyDescent="0.25">
      <c r="A1080" s="1">
        <v>45481</v>
      </c>
      <c r="B1080">
        <v>555.44000244140602</v>
      </c>
      <c r="C1080">
        <v>543.97100219726497</v>
      </c>
      <c r="D1080">
        <v>530.19680419921804</v>
      </c>
      <c r="E1080" t="str">
        <f t="shared" si="62"/>
        <v>Sell</v>
      </c>
      <c r="F1080">
        <f t="shared" si="64"/>
        <v>0</v>
      </c>
      <c r="G1080">
        <f t="shared" si="63"/>
        <v>0</v>
      </c>
      <c r="H1080" s="12" cm="1">
        <f t="array" ref="H1080">PRODUCT(1+G$2:G1080)-1</f>
        <v>0.3459875815951694</v>
      </c>
      <c r="I1080">
        <f>H1080-MAX(H$2:H1080)</f>
        <v>-7.8790879094681188E-4</v>
      </c>
      <c r="L1080" s="2">
        <f t="shared" si="65"/>
        <v>0.6675373278936958</v>
      </c>
    </row>
    <row r="1081" spans="1:12" x14ac:dyDescent="0.25">
      <c r="A1081" s="1">
        <v>45482</v>
      </c>
      <c r="B1081">
        <v>556.260009765625</v>
      </c>
      <c r="C1081">
        <v>545.10100402831995</v>
      </c>
      <c r="D1081">
        <v>531.33840454101505</v>
      </c>
      <c r="E1081" t="str">
        <f t="shared" si="62"/>
        <v>Sell</v>
      </c>
      <c r="F1081">
        <f t="shared" si="64"/>
        <v>0</v>
      </c>
      <c r="G1081">
        <f t="shared" si="63"/>
        <v>0</v>
      </c>
      <c r="H1081" s="12" cm="1">
        <f t="array" ref="H1081">PRODUCT(1+G$2:G1081)-1</f>
        <v>0.3459875815951694</v>
      </c>
      <c r="I1081">
        <f>H1081-MAX(H$2:H1081)</f>
        <v>-7.8790879094681188E-4</v>
      </c>
      <c r="L1081" s="2">
        <f t="shared" si="65"/>
        <v>0.66999914702136232</v>
      </c>
    </row>
    <row r="1082" spans="1:12" x14ac:dyDescent="0.25">
      <c r="A1082" s="1">
        <v>45483</v>
      </c>
      <c r="B1082">
        <v>557.07000732421795</v>
      </c>
      <c r="C1082">
        <v>546.29550476074201</v>
      </c>
      <c r="D1082">
        <v>532.35280456542898</v>
      </c>
      <c r="E1082" t="str">
        <f t="shared" si="62"/>
        <v>Sell</v>
      </c>
      <c r="F1082">
        <f t="shared" si="64"/>
        <v>0</v>
      </c>
      <c r="G1082">
        <f t="shared" si="63"/>
        <v>0</v>
      </c>
      <c r="H1082" s="12" cm="1">
        <f t="array" ref="H1082">PRODUCT(1+G$2:G1082)-1</f>
        <v>0.3459875815951694</v>
      </c>
      <c r="I1082">
        <f>H1082-MAX(H$2:H1082)</f>
        <v>-7.8790879094681188E-4</v>
      </c>
      <c r="L1082" s="2">
        <f t="shared" si="65"/>
        <v>0.67243091491441931</v>
      </c>
    </row>
    <row r="1083" spans="1:12" x14ac:dyDescent="0.25">
      <c r="A1083" s="1">
        <v>45484</v>
      </c>
      <c r="B1083">
        <v>561.44000244140602</v>
      </c>
      <c r="C1083">
        <v>547.66400451660104</v>
      </c>
      <c r="D1083">
        <v>533.37980468749902</v>
      </c>
      <c r="E1083" t="str">
        <f t="shared" si="62"/>
        <v>Sell</v>
      </c>
      <c r="F1083">
        <f t="shared" si="64"/>
        <v>0</v>
      </c>
      <c r="G1083">
        <f t="shared" si="63"/>
        <v>0</v>
      </c>
      <c r="H1083" s="12" cm="1">
        <f t="array" ref="H1083">PRODUCT(1+G$2:G1083)-1</f>
        <v>0.3459875815951694</v>
      </c>
      <c r="I1083">
        <f>H1083-MAX(H$2:H1083)</f>
        <v>-7.8790879094681188E-4</v>
      </c>
      <c r="L1083" s="2">
        <f t="shared" si="65"/>
        <v>0.68555047769094624</v>
      </c>
    </row>
    <row r="1084" spans="1:12" x14ac:dyDescent="0.25">
      <c r="A1084" s="1">
        <v>45485</v>
      </c>
      <c r="B1084">
        <v>557.63000488281205</v>
      </c>
      <c r="C1084">
        <v>548.46400451660099</v>
      </c>
      <c r="D1084">
        <v>534.36120483398395</v>
      </c>
      <c r="E1084" t="str">
        <f t="shared" si="62"/>
        <v>Sell</v>
      </c>
      <c r="F1084">
        <f t="shared" si="64"/>
        <v>0</v>
      </c>
      <c r="G1084">
        <f t="shared" si="63"/>
        <v>0</v>
      </c>
      <c r="H1084" s="12" cm="1">
        <f t="array" ref="H1084">PRODUCT(1+G$2:G1084)-1</f>
        <v>0.3459875815951694</v>
      </c>
      <c r="I1084">
        <f>H1084-MAX(H$2:H1084)</f>
        <v>-7.8790879094681188E-4</v>
      </c>
      <c r="L1084" s="2">
        <f t="shared" si="65"/>
        <v>0.67411213489926092</v>
      </c>
    </row>
    <row r="1085" spans="1:12" x14ac:dyDescent="0.25">
      <c r="A1085" s="1">
        <v>45488</v>
      </c>
      <c r="B1085">
        <v>562.030029296875</v>
      </c>
      <c r="C1085">
        <v>549.40800476074196</v>
      </c>
      <c r="D1085">
        <v>535.57420532226502</v>
      </c>
      <c r="E1085" t="str">
        <f t="shared" si="62"/>
        <v>Sell</v>
      </c>
      <c r="F1085">
        <f t="shared" si="64"/>
        <v>0</v>
      </c>
      <c r="G1085">
        <f t="shared" si="63"/>
        <v>0</v>
      </c>
      <c r="H1085" s="12" cm="1">
        <f t="array" ref="H1085">PRODUCT(1+G$2:G1085)-1</f>
        <v>0.3459875815951694</v>
      </c>
      <c r="I1085">
        <f>H1085-MAX(H$2:H1085)</f>
        <v>-7.8790879094681188E-4</v>
      </c>
      <c r="L1085" s="2">
        <f t="shared" si="65"/>
        <v>0.68732185137960677</v>
      </c>
    </row>
    <row r="1086" spans="1:12" x14ac:dyDescent="0.25">
      <c r="A1086" s="1">
        <v>45489</v>
      </c>
      <c r="B1086">
        <v>562.86999511718705</v>
      </c>
      <c r="C1086">
        <v>550.50750427245998</v>
      </c>
      <c r="D1086">
        <v>536.74860534667903</v>
      </c>
      <c r="E1086" t="str">
        <f t="shared" si="62"/>
        <v>Sell</v>
      </c>
      <c r="F1086">
        <f t="shared" si="64"/>
        <v>0</v>
      </c>
      <c r="G1086">
        <f t="shared" si="63"/>
        <v>0</v>
      </c>
      <c r="H1086" s="12" cm="1">
        <f t="array" ref="H1086">PRODUCT(1+G$2:G1086)-1</f>
        <v>0.3459875815951694</v>
      </c>
      <c r="I1086">
        <f>H1086-MAX(H$2:H1086)</f>
        <v>-7.8790879094681188E-4</v>
      </c>
      <c r="L1086" s="2">
        <f t="shared" si="65"/>
        <v>0.68984358973724869</v>
      </c>
    </row>
    <row r="1087" spans="1:12" x14ac:dyDescent="0.25">
      <c r="A1087" s="1">
        <v>45490</v>
      </c>
      <c r="B1087">
        <v>558.79998779296795</v>
      </c>
      <c r="C1087">
        <v>551.34350280761703</v>
      </c>
      <c r="D1087">
        <v>537.70140502929598</v>
      </c>
      <c r="E1087" t="str">
        <f t="shared" si="62"/>
        <v>Sell</v>
      </c>
      <c r="F1087">
        <f t="shared" si="64"/>
        <v>0</v>
      </c>
      <c r="G1087">
        <f t="shared" si="63"/>
        <v>0</v>
      </c>
      <c r="H1087" s="12" cm="1">
        <f t="array" ref="H1087">PRODUCT(1+G$2:G1087)-1</f>
        <v>0.3459875815951694</v>
      </c>
      <c r="I1087">
        <f>H1087-MAX(H$2:H1087)</f>
        <v>-7.8790879094681188E-4</v>
      </c>
      <c r="L1087" s="2">
        <f t="shared" si="65"/>
        <v>0.6776246478027379</v>
      </c>
    </row>
    <row r="1088" spans="1:12" x14ac:dyDescent="0.25">
      <c r="A1088" s="1">
        <v>45491</v>
      </c>
      <c r="B1088">
        <v>558.510009765625</v>
      </c>
      <c r="C1088">
        <v>551.91100463867099</v>
      </c>
      <c r="D1088">
        <v>538.59660522460899</v>
      </c>
      <c r="E1088" t="str">
        <f t="shared" si="62"/>
        <v>Sell</v>
      </c>
      <c r="F1088">
        <f t="shared" si="64"/>
        <v>0</v>
      </c>
      <c r="G1088">
        <f t="shared" si="63"/>
        <v>0</v>
      </c>
      <c r="H1088" s="12" cm="1">
        <f t="array" ref="H1088">PRODUCT(1+G$2:G1088)-1</f>
        <v>0.3459875815951694</v>
      </c>
      <c r="I1088">
        <f>H1088-MAX(H$2:H1088)</f>
        <v>-7.8790879094681188E-4</v>
      </c>
      <c r="L1088" s="2">
        <f t="shared" si="65"/>
        <v>0.67675407819533118</v>
      </c>
    </row>
    <row r="1089" spans="1:12" x14ac:dyDescent="0.25">
      <c r="A1089" s="1">
        <v>45492</v>
      </c>
      <c r="B1089">
        <v>552.41998291015602</v>
      </c>
      <c r="C1089">
        <v>552.06000366210901</v>
      </c>
      <c r="D1089">
        <v>539.29380493164001</v>
      </c>
      <c r="E1089" t="str">
        <f t="shared" si="62"/>
        <v>Sell</v>
      </c>
      <c r="F1089">
        <f t="shared" si="64"/>
        <v>0</v>
      </c>
      <c r="G1089">
        <f t="shared" si="63"/>
        <v>0</v>
      </c>
      <c r="H1089" s="12" cm="1">
        <f t="array" ref="H1089">PRODUCT(1+G$2:G1089)-1</f>
        <v>0.3459875815951694</v>
      </c>
      <c r="I1089">
        <f>H1089-MAX(H$2:H1089)</f>
        <v>-7.8790879094681188E-4</v>
      </c>
      <c r="L1089" s="2">
        <f t="shared" si="65"/>
        <v>0.65847065052585785</v>
      </c>
    </row>
    <row r="1090" spans="1:12" x14ac:dyDescent="0.25">
      <c r="A1090" s="1">
        <v>45495</v>
      </c>
      <c r="B1090">
        <v>553</v>
      </c>
      <c r="C1090">
        <v>552.49000244140598</v>
      </c>
      <c r="D1090">
        <v>540.048604736328</v>
      </c>
      <c r="E1090" t="str">
        <f t="shared" si="62"/>
        <v>Sell</v>
      </c>
      <c r="F1090">
        <f t="shared" si="64"/>
        <v>0</v>
      </c>
      <c r="G1090">
        <f t="shared" si="63"/>
        <v>0</v>
      </c>
      <c r="H1090" s="12" cm="1">
        <f t="array" ref="H1090">PRODUCT(1+G$2:G1090)-1</f>
        <v>0.3459875815951694</v>
      </c>
      <c r="I1090">
        <f>H1090-MAX(H$2:H1090)</f>
        <v>-7.8790879094681188E-4</v>
      </c>
      <c r="L1090" s="2">
        <f t="shared" si="65"/>
        <v>0.66021197297991197</v>
      </c>
    </row>
    <row r="1091" spans="1:12" x14ac:dyDescent="0.25">
      <c r="A1091" s="1">
        <v>45496</v>
      </c>
      <c r="B1091">
        <v>554.53997802734295</v>
      </c>
      <c r="C1091">
        <v>553.00050048828098</v>
      </c>
      <c r="D1091">
        <v>540.79180419921795</v>
      </c>
      <c r="E1091" t="str">
        <f t="shared" ref="E1091:E1154" si="66">IF(OR(ISBLANK(C1091),ISBLANK(D1091),ISBLANK(C1092),ISBLANK(D1092)), "Hold", IF(AND(C1091&gt;C1092,C1092&lt;=D1092), "Buy", IF(AND(C1091&lt;C1092,C1092&gt;=D1092), "Sell", "Hold")))</f>
        <v>Sell</v>
      </c>
      <c r="F1091">
        <f t="shared" si="64"/>
        <v>0</v>
      </c>
      <c r="G1091">
        <f t="shared" ref="G1091:G1154" si="67">IF(F1091=1,(B1092-B1091)/B1091,0)</f>
        <v>0</v>
      </c>
      <c r="H1091" s="12" cm="1">
        <f t="array" ref="H1091">PRODUCT(1+G$2:G1091)-1</f>
        <v>0.3459875815951694</v>
      </c>
      <c r="I1091">
        <f>H1091-MAX(H$2:H1091)</f>
        <v>-7.8790879094681188E-4</v>
      </c>
      <c r="L1091" s="2">
        <f t="shared" si="65"/>
        <v>0.66483528212841236</v>
      </c>
    </row>
    <row r="1092" spans="1:12" x14ac:dyDescent="0.25">
      <c r="A1092" s="1">
        <v>45497</v>
      </c>
      <c r="B1092">
        <v>548.85998535156205</v>
      </c>
      <c r="C1092">
        <v>553.24400024414001</v>
      </c>
      <c r="D1092">
        <v>541.33280395507802</v>
      </c>
      <c r="E1092" t="str">
        <f t="shared" si="66"/>
        <v>Hold</v>
      </c>
      <c r="F1092">
        <f t="shared" ref="F1092:F1155" si="68">IF(E1092="Buy",1, IF(E1092="Sell",0,F1091))</f>
        <v>0</v>
      </c>
      <c r="G1092">
        <f t="shared" si="67"/>
        <v>0</v>
      </c>
      <c r="H1092" s="12" cm="1">
        <f t="array" ref="H1092">PRODUCT(1+G$2:G1092)-1</f>
        <v>0.3459875815951694</v>
      </c>
      <c r="I1092">
        <f>H1092-MAX(H$2:H1092)</f>
        <v>-7.8790879094681188E-4</v>
      </c>
      <c r="L1092" s="2">
        <f t="shared" si="65"/>
        <v>0.64778285564239135</v>
      </c>
    </row>
    <row r="1093" spans="1:12" x14ac:dyDescent="0.25">
      <c r="A1093" s="1">
        <v>45498</v>
      </c>
      <c r="B1093">
        <v>541.34997558593705</v>
      </c>
      <c r="C1093">
        <v>553.12699890136696</v>
      </c>
      <c r="D1093">
        <v>541.70860351562396</v>
      </c>
      <c r="E1093" t="str">
        <f t="shared" si="66"/>
        <v>Hold</v>
      </c>
      <c r="F1093">
        <f t="shared" si="68"/>
        <v>0</v>
      </c>
      <c r="G1093">
        <f t="shared" si="67"/>
        <v>0</v>
      </c>
      <c r="H1093" s="12" cm="1">
        <f t="array" ref="H1093">PRODUCT(1+G$2:G1093)-1</f>
        <v>0.3459875815951694</v>
      </c>
      <c r="I1093">
        <f>H1093-MAX(H$2:H1093)</f>
        <v>-7.8790879094681188E-4</v>
      </c>
      <c r="L1093" s="2">
        <f t="shared" si="65"/>
        <v>0.62523636716122188</v>
      </c>
    </row>
    <row r="1094" spans="1:12" x14ac:dyDescent="0.25">
      <c r="A1094" s="1">
        <v>45499</v>
      </c>
      <c r="B1094">
        <v>542.280029296875</v>
      </c>
      <c r="C1094">
        <v>552.97250061035095</v>
      </c>
      <c r="D1094">
        <v>542.13200439453101</v>
      </c>
      <c r="E1094" t="str">
        <f t="shared" si="66"/>
        <v>Hold</v>
      </c>
      <c r="F1094">
        <f t="shared" si="68"/>
        <v>0</v>
      </c>
      <c r="G1094">
        <f t="shared" si="67"/>
        <v>0</v>
      </c>
      <c r="H1094" s="12" cm="1">
        <f t="array" ref="H1094">PRODUCT(1+G$2:G1094)-1</f>
        <v>0.3459875815951694</v>
      </c>
      <c r="I1094">
        <f>H1094-MAX(H$2:H1094)</f>
        <v>-7.8790879094681188E-4</v>
      </c>
      <c r="L1094" s="2">
        <f t="shared" si="65"/>
        <v>0.62802856663032425</v>
      </c>
    </row>
    <row r="1095" spans="1:12" x14ac:dyDescent="0.25">
      <c r="A1095" s="1">
        <v>45502</v>
      </c>
      <c r="B1095">
        <v>546.02001953125</v>
      </c>
      <c r="C1095">
        <v>552.91550292968702</v>
      </c>
      <c r="D1095">
        <v>542.53580444335898</v>
      </c>
      <c r="E1095" t="str">
        <f t="shared" si="66"/>
        <v>Sell</v>
      </c>
      <c r="F1095">
        <f t="shared" si="68"/>
        <v>0</v>
      </c>
      <c r="G1095">
        <f t="shared" si="67"/>
        <v>0</v>
      </c>
      <c r="H1095" s="12" cm="1">
        <f t="array" ref="H1095">PRODUCT(1+G$2:G1095)-1</f>
        <v>0.3459875815951694</v>
      </c>
      <c r="I1095">
        <f>H1095-MAX(H$2:H1095)</f>
        <v>-7.8790879094681188E-4</v>
      </c>
      <c r="L1095" s="2">
        <f t="shared" ref="L1095:L1158" si="69">(B1095-B$134)/B$134</f>
        <v>0.6392567340189993</v>
      </c>
    </row>
    <row r="1096" spans="1:12" x14ac:dyDescent="0.25">
      <c r="A1096" s="1">
        <v>45503</v>
      </c>
      <c r="B1096">
        <v>546.260009765625</v>
      </c>
      <c r="C1096">
        <v>552.94700317382797</v>
      </c>
      <c r="D1096">
        <v>542.86340454101503</v>
      </c>
      <c r="E1096" t="str">
        <f t="shared" si="66"/>
        <v>Sell</v>
      </c>
      <c r="F1096">
        <f t="shared" si="68"/>
        <v>0</v>
      </c>
      <c r="G1096">
        <f t="shared" si="67"/>
        <v>0</v>
      </c>
      <c r="H1096" s="12" cm="1">
        <f t="array" ref="H1096">PRODUCT(1+G$2:G1096)-1</f>
        <v>0.3459875815951694</v>
      </c>
      <c r="I1096">
        <f>H1096-MAX(H$2:H1096)</f>
        <v>-7.8790879094681188E-4</v>
      </c>
      <c r="L1096" s="2">
        <f t="shared" si="69"/>
        <v>0.6399772306926117</v>
      </c>
    </row>
    <row r="1097" spans="1:12" x14ac:dyDescent="0.25">
      <c r="A1097" s="1">
        <v>45504</v>
      </c>
      <c r="B1097">
        <v>548.97998046875</v>
      </c>
      <c r="C1097">
        <v>553.21100158691399</v>
      </c>
      <c r="D1097">
        <v>543.26680419921797</v>
      </c>
      <c r="E1097" t="str">
        <f t="shared" si="66"/>
        <v>Sell</v>
      </c>
      <c r="F1097">
        <f t="shared" si="68"/>
        <v>0</v>
      </c>
      <c r="G1097">
        <f t="shared" si="67"/>
        <v>0</v>
      </c>
      <c r="H1097" s="12" cm="1">
        <f t="array" ref="H1097">PRODUCT(1+G$2:G1097)-1</f>
        <v>0.3459875815951694</v>
      </c>
      <c r="I1097">
        <f>H1097-MAX(H$2:H1097)</f>
        <v>-7.8790879094681188E-4</v>
      </c>
      <c r="L1097" s="2">
        <f t="shared" si="69"/>
        <v>0.64814310397919883</v>
      </c>
    </row>
    <row r="1098" spans="1:12" x14ac:dyDescent="0.25">
      <c r="A1098" s="1">
        <v>45505</v>
      </c>
      <c r="B1098">
        <v>552.57000732421795</v>
      </c>
      <c r="C1098">
        <v>553.40500183105405</v>
      </c>
      <c r="D1098">
        <v>543.72680419921801</v>
      </c>
      <c r="E1098" t="str">
        <f t="shared" si="66"/>
        <v>Hold</v>
      </c>
      <c r="F1098">
        <f t="shared" si="68"/>
        <v>0</v>
      </c>
      <c r="G1098">
        <f t="shared" si="67"/>
        <v>0</v>
      </c>
      <c r="H1098" s="12" cm="1">
        <f t="array" ref="H1098">PRODUCT(1+G$2:G1098)-1</f>
        <v>0.3459875815951694</v>
      </c>
      <c r="I1098">
        <f>H1098-MAX(H$2:H1098)</f>
        <v>-7.8790879094681188E-4</v>
      </c>
      <c r="L1098" s="2">
        <f t="shared" si="69"/>
        <v>0.65892105256648148</v>
      </c>
    </row>
    <row r="1099" spans="1:12" x14ac:dyDescent="0.25">
      <c r="A1099" s="1">
        <v>45506</v>
      </c>
      <c r="B1099">
        <v>535.75</v>
      </c>
      <c r="C1099">
        <v>552.60400085449203</v>
      </c>
      <c r="D1099">
        <v>543.85620361328097</v>
      </c>
      <c r="E1099" t="str">
        <f t="shared" si="66"/>
        <v>Hold</v>
      </c>
      <c r="F1099">
        <f t="shared" si="68"/>
        <v>0</v>
      </c>
      <c r="G1099">
        <f t="shared" si="67"/>
        <v>0</v>
      </c>
      <c r="H1099" s="12" cm="1">
        <f t="array" ref="H1099">PRODUCT(1+G$2:G1099)-1</f>
        <v>0.3459875815951694</v>
      </c>
      <c r="I1099">
        <f>H1099-MAX(H$2:H1099)</f>
        <v>-7.8790879094681188E-4</v>
      </c>
      <c r="L1099" s="2">
        <f t="shared" si="69"/>
        <v>0.60842416731281701</v>
      </c>
    </row>
    <row r="1100" spans="1:12" x14ac:dyDescent="0.25">
      <c r="A1100" s="1">
        <v>45509</v>
      </c>
      <c r="B1100">
        <v>511.64001464843699</v>
      </c>
      <c r="C1100">
        <v>550.41400146484295</v>
      </c>
      <c r="D1100">
        <v>543.47600341796795</v>
      </c>
      <c r="E1100" t="str">
        <f t="shared" si="66"/>
        <v>Hold</v>
      </c>
      <c r="F1100">
        <f t="shared" si="68"/>
        <v>0</v>
      </c>
      <c r="G1100">
        <f t="shared" si="67"/>
        <v>0</v>
      </c>
      <c r="H1100" s="12" cm="1">
        <f t="array" ref="H1100">PRODUCT(1+G$2:G1100)-1</f>
        <v>0.3459875815951694</v>
      </c>
      <c r="I1100">
        <f>H1100-MAX(H$2:H1100)</f>
        <v>-7.8790879094681188E-4</v>
      </c>
      <c r="L1100" s="2">
        <f t="shared" si="69"/>
        <v>0.53604137102161409</v>
      </c>
    </row>
    <row r="1101" spans="1:12" x14ac:dyDescent="0.25">
      <c r="A1101" s="1">
        <v>45510</v>
      </c>
      <c r="B1101">
        <v>519.219970703125</v>
      </c>
      <c r="C1101">
        <v>548.561999511718</v>
      </c>
      <c r="D1101">
        <v>543.20120239257801</v>
      </c>
      <c r="E1101" t="str">
        <f t="shared" si="66"/>
        <v>Hold</v>
      </c>
      <c r="F1101">
        <f t="shared" si="68"/>
        <v>0</v>
      </c>
      <c r="G1101">
        <f t="shared" si="67"/>
        <v>0</v>
      </c>
      <c r="H1101" s="12" cm="1">
        <f t="array" ref="H1101">PRODUCT(1+G$2:G1101)-1</f>
        <v>0.3459875815951694</v>
      </c>
      <c r="I1101">
        <f>H1101-MAX(H$2:H1101)</f>
        <v>-7.8790879094681188E-4</v>
      </c>
      <c r="L1101" s="2">
        <f t="shared" si="69"/>
        <v>0.55879785166655915</v>
      </c>
    </row>
    <row r="1102" spans="1:12" x14ac:dyDescent="0.25">
      <c r="A1102" s="1">
        <v>45511</v>
      </c>
      <c r="B1102">
        <v>528.469970703125</v>
      </c>
      <c r="C1102">
        <v>547.13199768066397</v>
      </c>
      <c r="D1102">
        <v>543.21360229492097</v>
      </c>
      <c r="E1102" t="str">
        <f t="shared" si="66"/>
        <v>Hold</v>
      </c>
      <c r="F1102">
        <f t="shared" si="68"/>
        <v>0</v>
      </c>
      <c r="G1102">
        <f t="shared" si="67"/>
        <v>0</v>
      </c>
      <c r="H1102" s="12" cm="1">
        <f t="array" ref="H1102">PRODUCT(1+G$2:G1102)-1</f>
        <v>0.3459875815951694</v>
      </c>
      <c r="I1102">
        <f>H1102-MAX(H$2:H1102)</f>
        <v>-7.8790879094681188E-4</v>
      </c>
      <c r="L1102" s="2">
        <f t="shared" si="69"/>
        <v>0.58656812427065352</v>
      </c>
    </row>
    <row r="1103" spans="1:12" x14ac:dyDescent="0.25">
      <c r="A1103" s="1">
        <v>45512</v>
      </c>
      <c r="B1103">
        <v>523.90997314453102</v>
      </c>
      <c r="C1103">
        <v>545.25549621582002</v>
      </c>
      <c r="D1103">
        <v>543.08640136718702</v>
      </c>
      <c r="E1103" t="str">
        <f t="shared" si="66"/>
        <v>Hold</v>
      </c>
      <c r="F1103">
        <f t="shared" si="68"/>
        <v>0</v>
      </c>
      <c r="G1103">
        <f t="shared" si="67"/>
        <v>0</v>
      </c>
      <c r="H1103" s="12" cm="1">
        <f t="array" ref="H1103">PRODUCT(1+G$2:G1103)-1</f>
        <v>0.3459875815951694</v>
      </c>
      <c r="I1103">
        <f>H1103-MAX(H$2:H1103)</f>
        <v>-7.8790879094681188E-4</v>
      </c>
      <c r="L1103" s="2">
        <f t="shared" si="69"/>
        <v>0.57287813775431196</v>
      </c>
    </row>
    <row r="1104" spans="1:12" x14ac:dyDescent="0.25">
      <c r="A1104" s="1">
        <v>45513</v>
      </c>
      <c r="B1104">
        <v>529.80999755859295</v>
      </c>
      <c r="C1104">
        <v>543.86449584960906</v>
      </c>
      <c r="D1104">
        <v>543.16900146484295</v>
      </c>
      <c r="E1104" t="str">
        <f t="shared" si="66"/>
        <v>Buy</v>
      </c>
      <c r="F1104">
        <f t="shared" si="68"/>
        <v>1</v>
      </c>
      <c r="G1104">
        <f t="shared" si="67"/>
        <v>8.3049101269110324E-3</v>
      </c>
      <c r="H1104" s="12" cm="1">
        <f t="array" ref="H1104">PRODUCT(1+G$2:G1104)-1</f>
        <v>0.35716588749225564</v>
      </c>
      <c r="I1104">
        <f>H1104-MAX(H$2:H1104)</f>
        <v>0</v>
      </c>
      <c r="L1104" s="2">
        <f t="shared" si="69"/>
        <v>0.59059114168396731</v>
      </c>
    </row>
    <row r="1105" spans="1:12" x14ac:dyDescent="0.25">
      <c r="A1105" s="1">
        <v>45516</v>
      </c>
      <c r="B1105">
        <v>534.21002197265602</v>
      </c>
      <c r="C1105">
        <v>542.47349548339798</v>
      </c>
      <c r="D1105">
        <v>543.362801513671</v>
      </c>
      <c r="E1105" t="str">
        <f t="shared" si="66"/>
        <v>Buy</v>
      </c>
      <c r="F1105">
        <f t="shared" si="68"/>
        <v>1</v>
      </c>
      <c r="G1105">
        <f t="shared" si="67"/>
        <v>4.3428749532851869E-3</v>
      </c>
      <c r="H1105" s="12" cm="1">
        <f t="array" ref="H1105">PRODUCT(1+G$2:G1105)-1</f>
        <v>0.36305988923249877</v>
      </c>
      <c r="I1105">
        <f>H1105-MAX(H$2:H1105)</f>
        <v>0</v>
      </c>
      <c r="L1105" s="2">
        <f t="shared" si="69"/>
        <v>0.6038008581643135</v>
      </c>
    </row>
    <row r="1106" spans="1:12" x14ac:dyDescent="0.25">
      <c r="A1106" s="1">
        <v>45517</v>
      </c>
      <c r="B1106">
        <v>536.530029296875</v>
      </c>
      <c r="C1106">
        <v>541.15649719238195</v>
      </c>
      <c r="D1106">
        <v>543.621601562499</v>
      </c>
      <c r="E1106" t="str">
        <f t="shared" si="66"/>
        <v>Buy</v>
      </c>
      <c r="F1106">
        <f t="shared" si="68"/>
        <v>1</v>
      </c>
      <c r="G1106">
        <f t="shared" si="67"/>
        <v>1.1779296486618584E-2</v>
      </c>
      <c r="H1106" s="12" cm="1">
        <f t="array" ref="H1106">PRODUCT(1+G$2:G1106)-1</f>
        <v>0.37911577579678579</v>
      </c>
      <c r="I1106">
        <f>H1106-MAX(H$2:H1106)</f>
        <v>0</v>
      </c>
      <c r="L1106" s="2">
        <f t="shared" si="69"/>
        <v>0.61076596474129263</v>
      </c>
    </row>
    <row r="1107" spans="1:12" x14ac:dyDescent="0.25">
      <c r="A1107" s="1">
        <v>45518</v>
      </c>
      <c r="B1107">
        <v>542.84997558593705</v>
      </c>
      <c r="C1107">
        <v>540.35899658203095</v>
      </c>
      <c r="D1107">
        <v>543.89820068359302</v>
      </c>
      <c r="E1107" t="str">
        <f t="shared" si="66"/>
        <v>Buy</v>
      </c>
      <c r="F1107">
        <f t="shared" si="68"/>
        <v>1</v>
      </c>
      <c r="G1107">
        <f t="shared" si="67"/>
        <v>1.2250206711136176E-2</v>
      </c>
      <c r="H1107" s="12" cm="1">
        <f t="array" ref="H1107">PRODUCT(1+G$2:G1107)-1</f>
        <v>0.39601022912888517</v>
      </c>
      <c r="I1107">
        <f>H1107-MAX(H$2:H1107)</f>
        <v>0</v>
      </c>
      <c r="L1107" s="2">
        <f t="shared" si="69"/>
        <v>0.62973965461053449</v>
      </c>
    </row>
    <row r="1108" spans="1:12" x14ac:dyDescent="0.25">
      <c r="A1108" s="1">
        <v>45519</v>
      </c>
      <c r="B1108">
        <v>549.5</v>
      </c>
      <c r="C1108">
        <v>539.90849609375005</v>
      </c>
      <c r="D1108">
        <v>544.35900024414002</v>
      </c>
      <c r="E1108" t="str">
        <f t="shared" si="66"/>
        <v>Buy</v>
      </c>
      <c r="F1108">
        <f t="shared" si="68"/>
        <v>1</v>
      </c>
      <c r="G1108">
        <f t="shared" si="67"/>
        <v>3.4940544315851187E-3</v>
      </c>
      <c r="H1108" s="12" cm="1">
        <f t="array" ref="H1108">PRODUCT(1+G$2:G1108)-1</f>
        <v>0.40088796485651113</v>
      </c>
      <c r="I1108">
        <f>H1108-MAX(H$2:H1108)</f>
        <v>0</v>
      </c>
      <c r="L1108" s="2">
        <f t="shared" si="69"/>
        <v>0.64970430226484921</v>
      </c>
    </row>
    <row r="1109" spans="1:12" x14ac:dyDescent="0.25">
      <c r="A1109" s="1">
        <v>45520</v>
      </c>
      <c r="B1109">
        <v>551.41998291015602</v>
      </c>
      <c r="C1109">
        <v>539.85849609374998</v>
      </c>
      <c r="D1109">
        <v>544.77199951171804</v>
      </c>
      <c r="E1109" t="str">
        <f t="shared" si="66"/>
        <v>Hold</v>
      </c>
      <c r="F1109">
        <f t="shared" si="68"/>
        <v>1</v>
      </c>
      <c r="G1109">
        <f t="shared" si="67"/>
        <v>6.0026797380922665E-3</v>
      </c>
      <c r="H1109" s="12" cm="1">
        <f t="array" ref="H1109">PRODUCT(1+G$2:G1109)-1</f>
        <v>0.40929704665849265</v>
      </c>
      <c r="I1109">
        <f>H1109-MAX(H$2:H1109)</f>
        <v>0</v>
      </c>
      <c r="L1109" s="2">
        <f t="shared" si="69"/>
        <v>0.65546845889298277</v>
      </c>
    </row>
    <row r="1110" spans="1:12" x14ac:dyDescent="0.25">
      <c r="A1110" s="1">
        <v>45523</v>
      </c>
      <c r="B1110">
        <v>554.72998046875</v>
      </c>
      <c r="C1110">
        <v>539.94499511718698</v>
      </c>
      <c r="D1110">
        <v>545.16699951171802</v>
      </c>
      <c r="E1110" t="str">
        <f t="shared" si="66"/>
        <v>Hold</v>
      </c>
      <c r="F1110">
        <f t="shared" si="68"/>
        <v>1</v>
      </c>
      <c r="G1110">
        <f t="shared" si="67"/>
        <v>7.967919710373474E-3</v>
      </c>
      <c r="H1110" s="12" cm="1">
        <f t="array" ref="H1110">PRODUCT(1+G$2:G1110)-1</f>
        <v>0.42052621237433407</v>
      </c>
      <c r="I1110">
        <f>H1110-MAX(H$2:H1110)</f>
        <v>0</v>
      </c>
      <c r="L1110" s="2">
        <f t="shared" si="69"/>
        <v>0.66540570586823045</v>
      </c>
    </row>
    <row r="1111" spans="1:12" x14ac:dyDescent="0.25">
      <c r="A1111" s="1">
        <v>45524</v>
      </c>
      <c r="B1111">
        <v>559.15002441406205</v>
      </c>
      <c r="C1111">
        <v>540.17549743652296</v>
      </c>
      <c r="D1111">
        <v>545.67680053710899</v>
      </c>
      <c r="E1111" t="str">
        <f t="shared" si="66"/>
        <v>Hold</v>
      </c>
      <c r="F1111">
        <f t="shared" si="68"/>
        <v>1</v>
      </c>
      <c r="G1111">
        <f t="shared" si="67"/>
        <v>1.1088171154738887E-3</v>
      </c>
      <c r="H1111" s="12" cm="1">
        <f t="array" ref="H1111">PRODUCT(1+G$2:G1111)-1</f>
        <v>0.42210131615159385</v>
      </c>
      <c r="I1111">
        <f>H1111-MAX(H$2:H1111)</f>
        <v>0</v>
      </c>
      <c r="L1111" s="2">
        <f t="shared" si="69"/>
        <v>0.67867552481778637</v>
      </c>
    </row>
    <row r="1112" spans="1:12" x14ac:dyDescent="0.25">
      <c r="A1112" s="1">
        <v>45525</v>
      </c>
      <c r="B1112">
        <v>559.77001953125</v>
      </c>
      <c r="C1112">
        <v>540.72099914550699</v>
      </c>
      <c r="D1112">
        <v>546.208601074218</v>
      </c>
      <c r="E1112" t="str">
        <f t="shared" si="66"/>
        <v>Hold</v>
      </c>
      <c r="F1112">
        <f t="shared" si="68"/>
        <v>1</v>
      </c>
      <c r="G1112">
        <f t="shared" si="67"/>
        <v>4.984150508237784E-3</v>
      </c>
      <c r="H1112" s="12" cm="1">
        <f t="array" ref="H1112">PRODUCT(1+G$2:G1112)-1</f>
        <v>0.42918928314925631</v>
      </c>
      <c r="I1112">
        <f>H1112-MAX(H$2:H1112)</f>
        <v>0</v>
      </c>
      <c r="L1112" s="2">
        <f t="shared" si="69"/>
        <v>0.68053686897103149</v>
      </c>
    </row>
    <row r="1113" spans="1:12" x14ac:dyDescent="0.25">
      <c r="A1113" s="1">
        <v>45526</v>
      </c>
      <c r="B1113">
        <v>562.55999755859295</v>
      </c>
      <c r="C1113">
        <v>541.78150024414003</v>
      </c>
      <c r="D1113">
        <v>546.77840087890604</v>
      </c>
      <c r="E1113" t="str">
        <f t="shared" si="66"/>
        <v>Hold</v>
      </c>
      <c r="F1113">
        <f t="shared" si="68"/>
        <v>1</v>
      </c>
      <c r="G1113">
        <f t="shared" si="67"/>
        <v>-5.3860357559504047E-3</v>
      </c>
      <c r="H1113" s="12" cm="1">
        <f t="array" ref="H1113">PRODUCT(1+G$2:G1113)-1</f>
        <v>0.42149161856819317</v>
      </c>
      <c r="I1113">
        <f>H1113-MAX(H$2:H1113)</f>
        <v>-7.697664581063135E-3</v>
      </c>
      <c r="L1113" s="2">
        <f t="shared" si="69"/>
        <v>0.68891291766062579</v>
      </c>
    </row>
    <row r="1114" spans="1:12" x14ac:dyDescent="0.25">
      <c r="A1114" s="1">
        <v>45527</v>
      </c>
      <c r="B1114">
        <v>559.530029296875</v>
      </c>
      <c r="C1114">
        <v>542.64400024413999</v>
      </c>
      <c r="D1114">
        <v>547.13640136718698</v>
      </c>
      <c r="E1114" t="str">
        <f t="shared" si="66"/>
        <v>Hold</v>
      </c>
      <c r="F1114">
        <f t="shared" si="68"/>
        <v>1</v>
      </c>
      <c r="G1114">
        <f t="shared" si="67"/>
        <v>6.5232662909847647E-3</v>
      </c>
      <c r="H1114" s="12" cm="1">
        <f t="array" ref="H1114">PRODUCT(1+G$2:G1114)-1</f>
        <v>0.43076438692651653</v>
      </c>
      <c r="I1114">
        <f>H1114-MAX(H$2:H1114)</f>
        <v>0</v>
      </c>
      <c r="L1114" s="2">
        <f t="shared" si="69"/>
        <v>0.67981637229741909</v>
      </c>
    </row>
    <row r="1115" spans="1:12" x14ac:dyDescent="0.25">
      <c r="A1115" s="1">
        <v>45530</v>
      </c>
      <c r="B1115">
        <v>563.17999267578102</v>
      </c>
      <c r="C1115">
        <v>543.50199890136696</v>
      </c>
      <c r="D1115">
        <v>547.53700073242101</v>
      </c>
      <c r="E1115" t="str">
        <f t="shared" si="66"/>
        <v>Hold</v>
      </c>
      <c r="F1115">
        <f t="shared" si="68"/>
        <v>1</v>
      </c>
      <c r="G1115">
        <f t="shared" si="67"/>
        <v>-6.5520836844257932E-3</v>
      </c>
      <c r="H1115" s="12" cm="1">
        <f t="array" ref="H1115">PRODUCT(1+G$2:G1115)-1</f>
        <v>0.42138989893067769</v>
      </c>
      <c r="I1115">
        <f>H1115-MAX(H$2:H1115)</f>
        <v>-9.3744879958388427E-3</v>
      </c>
      <c r="L1115" s="2">
        <f t="shared" si="69"/>
        <v>0.69077426181387114</v>
      </c>
    </row>
    <row r="1116" spans="1:12" x14ac:dyDescent="0.25">
      <c r="A1116" s="1">
        <v>45531</v>
      </c>
      <c r="B1116">
        <v>559.489990234375</v>
      </c>
      <c r="C1116">
        <v>544.16349792480401</v>
      </c>
      <c r="D1116">
        <v>547.909200439453</v>
      </c>
      <c r="E1116" t="str">
        <f t="shared" si="66"/>
        <v>Hold</v>
      </c>
      <c r="F1116">
        <f t="shared" si="68"/>
        <v>1</v>
      </c>
      <c r="G1116">
        <f t="shared" si="67"/>
        <v>3.0742850958968668E-3</v>
      </c>
      <c r="H1116" s="12" cm="1">
        <f t="array" ref="H1116">PRODUCT(1+G$2:G1116)-1</f>
        <v>0.42575965671241867</v>
      </c>
      <c r="I1116">
        <f>H1116-MAX(H$2:H1116)</f>
        <v>-5.0047302140978633E-3</v>
      </c>
      <c r="L1116" s="2">
        <f t="shared" si="69"/>
        <v>0.67969616735899341</v>
      </c>
    </row>
    <row r="1117" spans="1:12" x14ac:dyDescent="0.25">
      <c r="A1117" s="1">
        <v>45532</v>
      </c>
      <c r="B1117">
        <v>561.21002197265602</v>
      </c>
      <c r="C1117">
        <v>544.77499999999895</v>
      </c>
      <c r="D1117">
        <v>548.291800537109</v>
      </c>
      <c r="E1117" t="str">
        <f t="shared" si="66"/>
        <v>Hold</v>
      </c>
      <c r="F1117">
        <f t="shared" si="68"/>
        <v>1</v>
      </c>
      <c r="G1117">
        <f t="shared" si="67"/>
        <v>-1.6037212074358155E-3</v>
      </c>
      <c r="H1117" s="12" cm="1">
        <f t="array" ref="H1117">PRODUCT(1+G$2:G1117)-1</f>
        <v>0.4234731357142425</v>
      </c>
      <c r="I1117">
        <f>H1117-MAX(H$2:H1117)</f>
        <v>-7.2912512122740303E-3</v>
      </c>
      <c r="L1117" s="2">
        <f t="shared" si="69"/>
        <v>0.68486003225194025</v>
      </c>
    </row>
    <row r="1118" spans="1:12" x14ac:dyDescent="0.25">
      <c r="A1118" s="1">
        <v>45533</v>
      </c>
      <c r="B1118">
        <v>560.30999755859295</v>
      </c>
      <c r="C1118">
        <v>545.16199951171802</v>
      </c>
      <c r="D1118">
        <v>548.55480102539002</v>
      </c>
      <c r="E1118" t="str">
        <f t="shared" si="66"/>
        <v>Hold</v>
      </c>
      <c r="F1118">
        <f t="shared" si="68"/>
        <v>1</v>
      </c>
      <c r="G1118">
        <f t="shared" si="67"/>
        <v>8.2101332237774364E-4</v>
      </c>
      <c r="H1118" s="12" cm="1">
        <f t="array" ref="H1118">PRODUCT(1+G$2:G1118)-1</f>
        <v>0.42464182612271073</v>
      </c>
      <c r="I1118">
        <f>H1118-MAX(H$2:H1118)</f>
        <v>-6.1225608038057988E-3</v>
      </c>
      <c r="L1118" s="2">
        <f t="shared" si="69"/>
        <v>0.68215798648665682</v>
      </c>
    </row>
    <row r="1119" spans="1:12" x14ac:dyDescent="0.25">
      <c r="A1119" s="1">
        <v>45534</v>
      </c>
      <c r="B1119">
        <v>560.77001953125</v>
      </c>
      <c r="C1119">
        <v>546.413000488281</v>
      </c>
      <c r="D1119">
        <v>548.78140136718696</v>
      </c>
      <c r="E1119" t="str">
        <f t="shared" si="66"/>
        <v>Hold</v>
      </c>
      <c r="F1119">
        <f t="shared" si="68"/>
        <v>1</v>
      </c>
      <c r="G1119">
        <f t="shared" si="67"/>
        <v>-5.3506574473402135E-4</v>
      </c>
      <c r="H1119" s="12" cm="1">
        <f t="array" ref="H1119">PRODUCT(1+G$2:G1119)-1</f>
        <v>0.42387954908303715</v>
      </c>
      <c r="I1119">
        <f>H1119-MAX(H$2:H1119)</f>
        <v>-6.8848378434793744E-3</v>
      </c>
      <c r="L1119" s="2">
        <f t="shared" si="69"/>
        <v>0.68353906060390657</v>
      </c>
    </row>
    <row r="1120" spans="1:12" x14ac:dyDescent="0.25">
      <c r="A1120" s="1">
        <v>45538</v>
      </c>
      <c r="B1120">
        <v>560.469970703125</v>
      </c>
      <c r="C1120">
        <v>548.85449829101503</v>
      </c>
      <c r="D1120">
        <v>549.10280029296803</v>
      </c>
      <c r="E1120" t="str">
        <f t="shared" si="66"/>
        <v>Sell</v>
      </c>
      <c r="F1120">
        <f t="shared" si="68"/>
        <v>0</v>
      </c>
      <c r="G1120">
        <f t="shared" si="67"/>
        <v>0</v>
      </c>
      <c r="H1120" s="12" cm="1">
        <f t="array" ref="H1120">PRODUCT(1+G$2:G1120)-1</f>
        <v>0.42387954908303715</v>
      </c>
      <c r="I1120">
        <f>H1120-MAX(H$2:H1120)</f>
        <v>-6.8848378434793744E-3</v>
      </c>
      <c r="L1120" s="2">
        <f t="shared" si="69"/>
        <v>0.68263825652265575</v>
      </c>
    </row>
    <row r="1121" spans="1:12" x14ac:dyDescent="0.25">
      <c r="A1121" s="1">
        <v>45539</v>
      </c>
      <c r="B1121">
        <v>550.20001220703102</v>
      </c>
      <c r="C1121">
        <v>550.40350036620998</v>
      </c>
      <c r="D1121">
        <v>549.22020019531203</v>
      </c>
      <c r="E1121" t="str">
        <f t="shared" si="66"/>
        <v>Sell</v>
      </c>
      <c r="F1121">
        <f t="shared" si="68"/>
        <v>0</v>
      </c>
      <c r="G1121">
        <f t="shared" si="67"/>
        <v>0</v>
      </c>
      <c r="H1121" s="12" cm="1">
        <f t="array" ref="H1121">PRODUCT(1+G$2:G1121)-1</f>
        <v>0.42387954908303715</v>
      </c>
      <c r="I1121">
        <f>H1121-MAX(H$2:H1121)</f>
        <v>-6.8848378434793744E-3</v>
      </c>
      <c r="L1121" s="2">
        <f t="shared" si="69"/>
        <v>0.65180587305570814</v>
      </c>
    </row>
    <row r="1122" spans="1:12" x14ac:dyDescent="0.25">
      <c r="A1122" s="1">
        <v>45540</v>
      </c>
      <c r="B1122">
        <v>550.89001464843705</v>
      </c>
      <c r="C1122">
        <v>551.52450256347595</v>
      </c>
      <c r="D1122">
        <v>549.35820068359305</v>
      </c>
      <c r="E1122" t="str">
        <f t="shared" si="66"/>
        <v>Sell</v>
      </c>
      <c r="F1122">
        <f t="shared" si="68"/>
        <v>0</v>
      </c>
      <c r="G1122">
        <f t="shared" si="67"/>
        <v>0</v>
      </c>
      <c r="H1122" s="12" cm="1">
        <f t="array" ref="H1122">PRODUCT(1+G$2:G1122)-1</f>
        <v>0.42387954908303715</v>
      </c>
      <c r="I1122">
        <f>H1122-MAX(H$2:H1122)</f>
        <v>-6.8848378434793744E-3</v>
      </c>
      <c r="L1122" s="2">
        <f t="shared" si="69"/>
        <v>0.65387739261196065</v>
      </c>
    </row>
    <row r="1123" spans="1:12" x14ac:dyDescent="0.25">
      <c r="A1123" s="1">
        <v>45541</v>
      </c>
      <c r="B1123">
        <v>549.94000244140602</v>
      </c>
      <c r="C1123">
        <v>552.82600402831997</v>
      </c>
      <c r="D1123">
        <v>549.48320068359305</v>
      </c>
      <c r="E1123" t="str">
        <f t="shared" si="66"/>
        <v>Sell</v>
      </c>
      <c r="F1123">
        <f t="shared" si="68"/>
        <v>0</v>
      </c>
      <c r="G1123">
        <f t="shared" si="67"/>
        <v>0</v>
      </c>
      <c r="H1123" s="12" cm="1">
        <f t="array" ref="H1123">PRODUCT(1+G$2:G1123)-1</f>
        <v>0.42387954908303715</v>
      </c>
      <c r="I1123">
        <f>H1123-MAX(H$2:H1123)</f>
        <v>-6.8848378434793744E-3</v>
      </c>
      <c r="L1123" s="2">
        <f t="shared" si="69"/>
        <v>0.65102527391288301</v>
      </c>
    </row>
    <row r="1124" spans="1:12" x14ac:dyDescent="0.25">
      <c r="A1124" s="1">
        <v>45544</v>
      </c>
      <c r="B1124">
        <v>544.65002441406205</v>
      </c>
      <c r="C1124">
        <v>553.56800537109302</v>
      </c>
      <c r="D1124">
        <v>549.46880126953101</v>
      </c>
      <c r="E1124" t="str">
        <f t="shared" si="66"/>
        <v>Sell</v>
      </c>
      <c r="F1124">
        <f t="shared" si="68"/>
        <v>0</v>
      </c>
      <c r="G1124">
        <f t="shared" si="67"/>
        <v>0</v>
      </c>
      <c r="H1124" s="12" cm="1">
        <f t="array" ref="H1124">PRODUCT(1+G$2:G1124)-1</f>
        <v>0.42387954908303715</v>
      </c>
      <c r="I1124">
        <f>H1124-MAX(H$2:H1124)</f>
        <v>-6.8848378434793744E-3</v>
      </c>
      <c r="L1124" s="2">
        <f t="shared" si="69"/>
        <v>0.63514374614109792</v>
      </c>
    </row>
    <row r="1125" spans="1:12" x14ac:dyDescent="0.25">
      <c r="A1125" s="1">
        <v>45545</v>
      </c>
      <c r="B1125">
        <v>548.35998535156205</v>
      </c>
      <c r="C1125">
        <v>554.27550354003904</v>
      </c>
      <c r="D1125">
        <v>549.492801513671</v>
      </c>
      <c r="E1125" t="str">
        <f t="shared" si="66"/>
        <v>Sell</v>
      </c>
      <c r="F1125">
        <f t="shared" si="68"/>
        <v>0</v>
      </c>
      <c r="G1125">
        <f t="shared" si="67"/>
        <v>0</v>
      </c>
      <c r="H1125" s="12" cm="1">
        <f t="array" ref="H1125">PRODUCT(1+G$2:G1125)-1</f>
        <v>0.42387954908303715</v>
      </c>
      <c r="I1125">
        <f>H1125-MAX(H$2:H1125)</f>
        <v>-6.8848378434793744E-3</v>
      </c>
      <c r="L1125" s="2">
        <f t="shared" si="69"/>
        <v>0.64628175982595382</v>
      </c>
    </row>
    <row r="1126" spans="1:12" x14ac:dyDescent="0.25">
      <c r="A1126" s="1">
        <v>45546</v>
      </c>
      <c r="B1126">
        <v>548.70001220703102</v>
      </c>
      <c r="C1126">
        <v>554.88400268554597</v>
      </c>
      <c r="D1126">
        <v>549.55420166015597</v>
      </c>
      <c r="E1126" t="str">
        <f t="shared" si="66"/>
        <v>Sell</v>
      </c>
      <c r="F1126">
        <f t="shared" si="68"/>
        <v>0</v>
      </c>
      <c r="G1126">
        <f t="shared" si="67"/>
        <v>0</v>
      </c>
      <c r="H1126" s="12" cm="1">
        <f t="array" ref="H1126">PRODUCT(1+G$2:G1126)-1</f>
        <v>0.42387954908303715</v>
      </c>
      <c r="I1126">
        <f>H1126-MAX(H$2:H1126)</f>
        <v>-6.8848378434793744E-3</v>
      </c>
      <c r="L1126" s="2">
        <f t="shared" si="69"/>
        <v>0.64730258560639553</v>
      </c>
    </row>
    <row r="1127" spans="1:12" x14ac:dyDescent="0.25">
      <c r="A1127" s="1">
        <v>45547</v>
      </c>
      <c r="B1127">
        <v>555.010009765625</v>
      </c>
      <c r="C1127">
        <v>555.49200439453102</v>
      </c>
      <c r="D1127">
        <v>549.78040161132799</v>
      </c>
      <c r="E1127" t="str">
        <f t="shared" si="66"/>
        <v>Sell</v>
      </c>
      <c r="F1127">
        <f t="shared" si="68"/>
        <v>0</v>
      </c>
      <c r="G1127">
        <f t="shared" si="67"/>
        <v>0</v>
      </c>
      <c r="H1127" s="12" cm="1">
        <f t="array" ref="H1127">PRODUCT(1+G$2:G1127)-1</f>
        <v>0.42387954908303715</v>
      </c>
      <c r="I1127">
        <f>H1127-MAX(H$2:H1127)</f>
        <v>-6.8848378434793744E-3</v>
      </c>
      <c r="L1127" s="2">
        <f t="shared" si="69"/>
        <v>0.66624640748026853</v>
      </c>
    </row>
    <row r="1128" spans="1:12" x14ac:dyDescent="0.25">
      <c r="A1128" s="1">
        <v>45548</v>
      </c>
      <c r="B1128">
        <v>559.71002197265602</v>
      </c>
      <c r="C1128">
        <v>556.00250549316399</v>
      </c>
      <c r="D1128">
        <v>550.00080200195305</v>
      </c>
      <c r="E1128" t="str">
        <f t="shared" si="66"/>
        <v>Sell</v>
      </c>
      <c r="F1128">
        <f t="shared" si="68"/>
        <v>0</v>
      </c>
      <c r="G1128">
        <f t="shared" si="67"/>
        <v>0</v>
      </c>
      <c r="H1128" s="12" cm="1">
        <f t="array" ref="H1128">PRODUCT(1+G$2:G1128)-1</f>
        <v>0.42387954908303715</v>
      </c>
      <c r="I1128">
        <f>H1128-MAX(H$2:H1128)</f>
        <v>-6.8848378434793744E-3</v>
      </c>
      <c r="L1128" s="2">
        <f t="shared" si="69"/>
        <v>0.68035674480262776</v>
      </c>
    </row>
    <row r="1129" spans="1:12" x14ac:dyDescent="0.25">
      <c r="A1129" s="1">
        <v>45551</v>
      </c>
      <c r="B1129">
        <v>561.739990234375</v>
      </c>
      <c r="C1129">
        <v>556.51850585937405</v>
      </c>
      <c r="D1129">
        <v>550.20020141601503</v>
      </c>
      <c r="E1129" t="str">
        <f t="shared" si="66"/>
        <v>Sell</v>
      </c>
      <c r="F1129">
        <f t="shared" si="68"/>
        <v>0</v>
      </c>
      <c r="G1129">
        <f t="shared" si="67"/>
        <v>0</v>
      </c>
      <c r="H1129" s="12" cm="1">
        <f t="array" ref="H1129">PRODUCT(1+G$2:G1129)-1</f>
        <v>0.42387954908303715</v>
      </c>
      <c r="I1129">
        <f>H1129-MAX(H$2:H1129)</f>
        <v>-6.8848378434793744E-3</v>
      </c>
      <c r="L1129" s="2">
        <f t="shared" si="69"/>
        <v>0.68645109853296238</v>
      </c>
    </row>
    <row r="1130" spans="1:12" x14ac:dyDescent="0.25">
      <c r="A1130" s="1">
        <v>45552</v>
      </c>
      <c r="B1130">
        <v>565.09997558593705</v>
      </c>
      <c r="C1130">
        <v>557.03700561523397</v>
      </c>
      <c r="D1130">
        <v>550.39340087890605</v>
      </c>
      <c r="E1130" t="str">
        <f t="shared" si="66"/>
        <v>Sell</v>
      </c>
      <c r="F1130">
        <f t="shared" si="68"/>
        <v>0</v>
      </c>
      <c r="G1130">
        <f t="shared" si="67"/>
        <v>0</v>
      </c>
      <c r="H1130" s="12" cm="1">
        <f t="array" ref="H1130">PRODUCT(1+G$2:G1130)-1</f>
        <v>0.42387954908303715</v>
      </c>
      <c r="I1130">
        <f>H1130-MAX(H$2:H1130)</f>
        <v>-6.8848378434793744E-3</v>
      </c>
      <c r="L1130" s="2">
        <f t="shared" si="69"/>
        <v>0.6965384184420047</v>
      </c>
    </row>
    <row r="1131" spans="1:12" x14ac:dyDescent="0.25">
      <c r="A1131" s="1">
        <v>45553</v>
      </c>
      <c r="B1131">
        <v>563.739990234375</v>
      </c>
      <c r="C1131">
        <v>557.266503906249</v>
      </c>
      <c r="D1131">
        <v>550.543000488281</v>
      </c>
      <c r="E1131" t="str">
        <f t="shared" si="66"/>
        <v>Sell</v>
      </c>
      <c r="F1131">
        <f t="shared" si="68"/>
        <v>0</v>
      </c>
      <c r="G1131">
        <f t="shared" si="67"/>
        <v>0</v>
      </c>
      <c r="H1131" s="12" cm="1">
        <f t="array" ref="H1131">PRODUCT(1+G$2:G1131)-1</f>
        <v>0.42387954908303715</v>
      </c>
      <c r="I1131">
        <f>H1131-MAX(H$2:H1131)</f>
        <v>-6.8848378434793744E-3</v>
      </c>
      <c r="L1131" s="2">
        <f t="shared" si="69"/>
        <v>0.69245548179871252</v>
      </c>
    </row>
    <row r="1132" spans="1:12" x14ac:dyDescent="0.25">
      <c r="A1132" s="1">
        <v>45554</v>
      </c>
      <c r="B1132">
        <v>571.010009765625</v>
      </c>
      <c r="C1132">
        <v>557.82850341796802</v>
      </c>
      <c r="D1132">
        <v>550.82180053710897</v>
      </c>
      <c r="E1132" t="str">
        <f t="shared" si="66"/>
        <v>Sell</v>
      </c>
      <c r="F1132">
        <f t="shared" si="68"/>
        <v>0</v>
      </c>
      <c r="G1132">
        <f t="shared" si="67"/>
        <v>0</v>
      </c>
      <c r="H1132" s="12" cm="1">
        <f t="array" ref="H1132">PRODUCT(1+G$2:G1132)-1</f>
        <v>0.42387954908303715</v>
      </c>
      <c r="I1132">
        <f>H1132-MAX(H$2:H1132)</f>
        <v>-6.8848378434793744E-3</v>
      </c>
      <c r="L1132" s="2">
        <f t="shared" si="69"/>
        <v>0.71428147360626959</v>
      </c>
    </row>
    <row r="1133" spans="1:12" x14ac:dyDescent="0.25">
      <c r="A1133" s="1">
        <v>45555</v>
      </c>
      <c r="B1133">
        <v>567.84002685546795</v>
      </c>
      <c r="C1133">
        <v>558.09250488281202</v>
      </c>
      <c r="D1133">
        <v>550.94980102539</v>
      </c>
      <c r="E1133" t="str">
        <f t="shared" si="66"/>
        <v>Sell</v>
      </c>
      <c r="F1133">
        <f t="shared" si="68"/>
        <v>0</v>
      </c>
      <c r="G1133">
        <f t="shared" si="67"/>
        <v>0</v>
      </c>
      <c r="H1133" s="12" cm="1">
        <f t="array" ref="H1133">PRODUCT(1+G$2:G1133)-1</f>
        <v>0.42387954908303715</v>
      </c>
      <c r="I1133">
        <f>H1133-MAX(H$2:H1133)</f>
        <v>-6.8848378434793744E-3</v>
      </c>
      <c r="L1133" s="2">
        <f t="shared" si="69"/>
        <v>0.70476457743703913</v>
      </c>
    </row>
    <row r="1134" spans="1:12" x14ac:dyDescent="0.25">
      <c r="A1134" s="1">
        <v>45558</v>
      </c>
      <c r="B1134">
        <v>569.34002685546795</v>
      </c>
      <c r="C1134">
        <v>558.58300476074203</v>
      </c>
      <c r="D1134">
        <v>551.18400146484305</v>
      </c>
      <c r="E1134" t="str">
        <f t="shared" si="66"/>
        <v>Sell</v>
      </c>
      <c r="F1134">
        <f t="shared" si="68"/>
        <v>0</v>
      </c>
      <c r="G1134">
        <f t="shared" si="67"/>
        <v>0</v>
      </c>
      <c r="H1134" s="12" cm="1">
        <f t="array" ref="H1134">PRODUCT(1+G$2:G1134)-1</f>
        <v>0.42387954908303715</v>
      </c>
      <c r="I1134">
        <f>H1134-MAX(H$2:H1134)</f>
        <v>-6.8848378434793744E-3</v>
      </c>
      <c r="L1134" s="2">
        <f t="shared" si="69"/>
        <v>0.70926786488635174</v>
      </c>
    </row>
    <row r="1135" spans="1:12" x14ac:dyDescent="0.25">
      <c r="A1135" s="1">
        <v>45559</v>
      </c>
      <c r="B1135">
        <v>570.47998046875</v>
      </c>
      <c r="C1135">
        <v>558.94800415039003</v>
      </c>
      <c r="D1135">
        <v>551.35300048828105</v>
      </c>
      <c r="E1135" t="str">
        <f t="shared" si="66"/>
        <v>Sell</v>
      </c>
      <c r="F1135">
        <f t="shared" si="68"/>
        <v>0</v>
      </c>
      <c r="G1135">
        <f t="shared" si="67"/>
        <v>0</v>
      </c>
      <c r="H1135" s="12" cm="1">
        <f t="array" ref="H1135">PRODUCT(1+G$2:G1135)-1</f>
        <v>0.42387954908303715</v>
      </c>
      <c r="I1135">
        <f>H1135-MAX(H$2:H1135)</f>
        <v>-6.8848378434793744E-3</v>
      </c>
      <c r="L1135" s="2">
        <f t="shared" si="69"/>
        <v>0.71269022408601279</v>
      </c>
    </row>
    <row r="1136" spans="1:12" x14ac:dyDescent="0.25">
      <c r="A1136" s="1">
        <v>45560</v>
      </c>
      <c r="B1136">
        <v>571.14001464843705</v>
      </c>
      <c r="C1136">
        <v>559.530505371093</v>
      </c>
      <c r="D1136">
        <v>551.51840087890605</v>
      </c>
      <c r="E1136" t="str">
        <f t="shared" si="66"/>
        <v>Sell</v>
      </c>
      <c r="F1136">
        <f t="shared" si="68"/>
        <v>0</v>
      </c>
      <c r="G1136">
        <f t="shared" si="67"/>
        <v>0</v>
      </c>
      <c r="H1136" s="12" cm="1">
        <f t="array" ref="H1136">PRODUCT(1+G$2:G1136)-1</f>
        <v>0.42387954908303715</v>
      </c>
      <c r="I1136">
        <f>H1136-MAX(H$2:H1136)</f>
        <v>-6.8848378434793744E-3</v>
      </c>
      <c r="L1136" s="2">
        <f t="shared" si="69"/>
        <v>0.71467177317768082</v>
      </c>
    </row>
    <row r="1137" spans="1:12" x14ac:dyDescent="0.25">
      <c r="A1137" s="1">
        <v>45561</v>
      </c>
      <c r="B1137">
        <v>574.38000488281205</v>
      </c>
      <c r="C1137">
        <v>560.18900451660102</v>
      </c>
      <c r="D1137">
        <v>551.83000122070302</v>
      </c>
      <c r="E1137" t="str">
        <f t="shared" si="66"/>
        <v>Sell</v>
      </c>
      <c r="F1137">
        <f t="shared" si="68"/>
        <v>0</v>
      </c>
      <c r="G1137">
        <f t="shared" si="67"/>
        <v>0</v>
      </c>
      <c r="H1137" s="12" cm="1">
        <f t="array" ref="H1137">PRODUCT(1+G$2:G1137)-1</f>
        <v>0.42387954908303715</v>
      </c>
      <c r="I1137">
        <f>H1137-MAX(H$2:H1137)</f>
        <v>-6.8848378434793744E-3</v>
      </c>
      <c r="L1137" s="2">
        <f t="shared" si="69"/>
        <v>0.72439884474991834</v>
      </c>
    </row>
    <row r="1138" spans="1:12" x14ac:dyDescent="0.25">
      <c r="A1138" s="1">
        <v>45562</v>
      </c>
      <c r="B1138">
        <v>573.39001464843705</v>
      </c>
      <c r="C1138">
        <v>560.843005371093</v>
      </c>
      <c r="D1138">
        <v>552.12760131835898</v>
      </c>
      <c r="E1138" t="str">
        <f t="shared" si="66"/>
        <v>Sell</v>
      </c>
      <c r="F1138">
        <f t="shared" si="68"/>
        <v>0</v>
      </c>
      <c r="G1138">
        <f t="shared" si="67"/>
        <v>0</v>
      </c>
      <c r="H1138" s="12" cm="1">
        <f t="array" ref="H1138">PRODUCT(1+G$2:G1138)-1</f>
        <v>0.42387954908303715</v>
      </c>
      <c r="I1138">
        <f>H1138-MAX(H$2:H1138)</f>
        <v>-6.8848378434793744E-3</v>
      </c>
      <c r="L1138" s="2">
        <f t="shared" si="69"/>
        <v>0.72142670435164968</v>
      </c>
    </row>
    <row r="1139" spans="1:12" x14ac:dyDescent="0.25">
      <c r="A1139" s="1">
        <v>45565</v>
      </c>
      <c r="B1139">
        <v>570.41998291015602</v>
      </c>
      <c r="C1139">
        <v>561.32550354003899</v>
      </c>
      <c r="D1139">
        <v>552.487601318359</v>
      </c>
      <c r="E1139" t="str">
        <f t="shared" si="66"/>
        <v>Sell</v>
      </c>
      <c r="F1139">
        <f t="shared" si="68"/>
        <v>0</v>
      </c>
      <c r="G1139">
        <f t="shared" si="67"/>
        <v>0</v>
      </c>
      <c r="H1139" s="12" cm="1">
        <f t="array" ref="H1139">PRODUCT(1+G$2:G1139)-1</f>
        <v>0.42387954908303715</v>
      </c>
      <c r="I1139">
        <f>H1139-MAX(H$2:H1139)</f>
        <v>-6.8848378434793744E-3</v>
      </c>
      <c r="L1139" s="2">
        <f t="shared" si="69"/>
        <v>0.71251009991760905</v>
      </c>
    </row>
    <row r="1140" spans="1:12" x14ac:dyDescent="0.25">
      <c r="A1140" s="1">
        <v>45566</v>
      </c>
      <c r="B1140">
        <v>573.40002441406205</v>
      </c>
      <c r="C1140">
        <v>561.97200622558501</v>
      </c>
      <c r="D1140">
        <v>552.89560180664</v>
      </c>
      <c r="E1140" t="str">
        <f t="shared" si="66"/>
        <v>Sell</v>
      </c>
      <c r="F1140">
        <f t="shared" si="68"/>
        <v>0</v>
      </c>
      <c r="G1140">
        <f t="shared" si="67"/>
        <v>0</v>
      </c>
      <c r="H1140" s="12" cm="1">
        <f t="array" ref="H1140">PRODUCT(1+G$2:G1140)-1</f>
        <v>0.42387954908303715</v>
      </c>
      <c r="I1140">
        <f>H1140-MAX(H$2:H1140)</f>
        <v>-6.8848378434793744E-3</v>
      </c>
      <c r="L1140" s="2">
        <f t="shared" si="69"/>
        <v>0.7214567555862561</v>
      </c>
    </row>
    <row r="1141" spans="1:12" x14ac:dyDescent="0.25">
      <c r="A1141" s="1">
        <v>45567</v>
      </c>
      <c r="B1141">
        <v>567.71002197265602</v>
      </c>
      <c r="C1141">
        <v>562.84750671386701</v>
      </c>
      <c r="D1141">
        <v>553.15900268554606</v>
      </c>
      <c r="E1141" t="str">
        <f t="shared" si="66"/>
        <v>Sell</v>
      </c>
      <c r="F1141">
        <f t="shared" si="68"/>
        <v>0</v>
      </c>
      <c r="G1141">
        <f t="shared" si="67"/>
        <v>0</v>
      </c>
      <c r="H1141" s="12" cm="1">
        <f t="array" ref="H1141">PRODUCT(1+G$2:G1141)-1</f>
        <v>0.42387954908303715</v>
      </c>
      <c r="I1141">
        <f>H1141-MAX(H$2:H1141)</f>
        <v>-6.8848378434793744E-3</v>
      </c>
      <c r="L1141" s="2">
        <f t="shared" si="69"/>
        <v>0.70437427786562823</v>
      </c>
    </row>
    <row r="1142" spans="1:12" x14ac:dyDescent="0.25">
      <c r="A1142" s="1">
        <v>45568</v>
      </c>
      <c r="B1142">
        <v>567.35998535156205</v>
      </c>
      <c r="C1142">
        <v>563.67100524902298</v>
      </c>
      <c r="D1142">
        <v>553.52900268554595</v>
      </c>
      <c r="E1142" t="str">
        <f t="shared" si="66"/>
        <v>Sell</v>
      </c>
      <c r="F1142">
        <f t="shared" si="68"/>
        <v>0</v>
      </c>
      <c r="G1142">
        <f t="shared" si="67"/>
        <v>0</v>
      </c>
      <c r="H1142" s="12" cm="1">
        <f t="array" ref="H1142">PRODUCT(1+G$2:G1142)-1</f>
        <v>0.42387954908303715</v>
      </c>
      <c r="I1142">
        <f>H1142-MAX(H$2:H1142)</f>
        <v>-6.8848378434793744E-3</v>
      </c>
      <c r="L1142" s="2">
        <f t="shared" si="69"/>
        <v>0.70332340085058009</v>
      </c>
    </row>
    <row r="1143" spans="1:12" x14ac:dyDescent="0.25">
      <c r="A1143" s="1">
        <v>45569</v>
      </c>
      <c r="B1143">
        <v>572.34997558593705</v>
      </c>
      <c r="C1143">
        <v>564.79150390624898</v>
      </c>
      <c r="D1143">
        <v>554.14900268554595</v>
      </c>
      <c r="E1143" t="str">
        <f t="shared" si="66"/>
        <v>Sell</v>
      </c>
      <c r="F1143">
        <f t="shared" si="68"/>
        <v>0</v>
      </c>
      <c r="G1143">
        <f t="shared" si="67"/>
        <v>0</v>
      </c>
      <c r="H1143" s="12" cm="1">
        <f t="array" ref="H1143">PRODUCT(1+G$2:G1143)-1</f>
        <v>0.42387954908303715</v>
      </c>
      <c r="I1143">
        <f>H1143-MAX(H$2:H1143)</f>
        <v>-6.8848378434793744E-3</v>
      </c>
      <c r="L1143" s="2">
        <f t="shared" si="69"/>
        <v>0.71830430778034893</v>
      </c>
    </row>
    <row r="1144" spans="1:12" x14ac:dyDescent="0.25">
      <c r="A1144" s="1">
        <v>45572</v>
      </c>
      <c r="B1144">
        <v>571.29998779296795</v>
      </c>
      <c r="C1144">
        <v>566.12400207519499</v>
      </c>
      <c r="D1144">
        <v>554.72940185546804</v>
      </c>
      <c r="E1144" t="str">
        <f t="shared" si="66"/>
        <v>Sell</v>
      </c>
      <c r="F1144">
        <f t="shared" si="68"/>
        <v>0</v>
      </c>
      <c r="G1144">
        <f t="shared" si="67"/>
        <v>0</v>
      </c>
      <c r="H1144" s="12" cm="1">
        <f t="array" ref="H1144">PRODUCT(1+G$2:G1144)-1</f>
        <v>0.42387954908303715</v>
      </c>
      <c r="I1144">
        <f>H1144-MAX(H$2:H1144)</f>
        <v>-6.8848378434793744E-3</v>
      </c>
      <c r="L1144" s="2">
        <f t="shared" si="69"/>
        <v>0.7151520432136762</v>
      </c>
    </row>
    <row r="1145" spans="1:12" x14ac:dyDescent="0.25">
      <c r="A1145" s="1">
        <v>45573</v>
      </c>
      <c r="B1145">
        <v>570.41998291015602</v>
      </c>
      <c r="C1145">
        <v>567.22700195312405</v>
      </c>
      <c r="D1145">
        <v>555.21740112304599</v>
      </c>
      <c r="E1145" t="str">
        <f t="shared" si="66"/>
        <v>Sell</v>
      </c>
      <c r="F1145">
        <f t="shared" si="68"/>
        <v>0</v>
      </c>
      <c r="G1145">
        <f t="shared" si="67"/>
        <v>0</v>
      </c>
      <c r="H1145" s="12" cm="1">
        <f t="array" ref="H1145">PRODUCT(1+G$2:G1145)-1</f>
        <v>0.42387954908303715</v>
      </c>
      <c r="I1145">
        <f>H1145-MAX(H$2:H1145)</f>
        <v>-6.8848378434793744E-3</v>
      </c>
      <c r="L1145" s="2">
        <f t="shared" si="69"/>
        <v>0.71251009991760905</v>
      </c>
    </row>
    <row r="1146" spans="1:12" x14ac:dyDescent="0.25">
      <c r="A1146" s="1">
        <v>45574</v>
      </c>
      <c r="B1146">
        <v>573.15997314453102</v>
      </c>
      <c r="C1146">
        <v>568.44999999999902</v>
      </c>
      <c r="D1146">
        <v>555.755400390624</v>
      </c>
      <c r="E1146" t="str">
        <f t="shared" si="66"/>
        <v>Sell</v>
      </c>
      <c r="F1146">
        <f t="shared" si="68"/>
        <v>0</v>
      </c>
      <c r="G1146">
        <f t="shared" si="67"/>
        <v>0</v>
      </c>
      <c r="H1146" s="12" cm="1">
        <f t="array" ref="H1146">PRODUCT(1+G$2:G1146)-1</f>
        <v>0.42387954908303715</v>
      </c>
      <c r="I1146">
        <f>H1146-MAX(H$2:H1146)</f>
        <v>-6.8848378434793744E-3</v>
      </c>
      <c r="L1146" s="2">
        <f t="shared" si="69"/>
        <v>0.72073607567340903</v>
      </c>
    </row>
    <row r="1147" spans="1:12" x14ac:dyDescent="0.25">
      <c r="A1147" s="1">
        <v>45575</v>
      </c>
      <c r="B1147">
        <v>575.77001953125</v>
      </c>
      <c r="C1147">
        <v>569.48800048828105</v>
      </c>
      <c r="D1147">
        <v>556.29120117187404</v>
      </c>
      <c r="E1147" t="str">
        <f t="shared" si="66"/>
        <v>Sell</v>
      </c>
      <c r="F1147">
        <f t="shared" si="68"/>
        <v>0</v>
      </c>
      <c r="G1147">
        <f t="shared" si="67"/>
        <v>0</v>
      </c>
      <c r="H1147" s="12" cm="1">
        <f t="array" ref="H1147">PRODUCT(1+G$2:G1147)-1</f>
        <v>0.42387954908303715</v>
      </c>
      <c r="I1147">
        <f>H1147-MAX(H$2:H1147)</f>
        <v>-6.8848378434793744E-3</v>
      </c>
      <c r="L1147" s="2">
        <f t="shared" si="69"/>
        <v>0.72857193509703255</v>
      </c>
    </row>
    <row r="1148" spans="1:12" x14ac:dyDescent="0.25">
      <c r="A1148" s="1">
        <v>45576</v>
      </c>
      <c r="B1148">
        <v>576.04998779296795</v>
      </c>
      <c r="C1148">
        <v>570.30499877929606</v>
      </c>
      <c r="D1148">
        <v>556.76080078124903</v>
      </c>
      <c r="E1148" t="str">
        <f t="shared" si="66"/>
        <v>Sell</v>
      </c>
      <c r="F1148">
        <f t="shared" si="68"/>
        <v>0</v>
      </c>
      <c r="G1148">
        <f t="shared" si="67"/>
        <v>0</v>
      </c>
      <c r="H1148" s="12" cm="1">
        <f t="array" ref="H1148">PRODUCT(1+G$2:G1148)-1</f>
        <v>0.42387954908303715</v>
      </c>
      <c r="I1148">
        <f>H1148-MAX(H$2:H1148)</f>
        <v>-6.8848378434793744E-3</v>
      </c>
      <c r="L1148" s="2">
        <f t="shared" si="69"/>
        <v>0.72941245346983274</v>
      </c>
    </row>
    <row r="1149" spans="1:12" x14ac:dyDescent="0.25">
      <c r="A1149" s="1">
        <v>45579</v>
      </c>
      <c r="B1149">
        <v>581.219970703125</v>
      </c>
      <c r="C1149">
        <v>571.27899780273401</v>
      </c>
      <c r="D1149">
        <v>557.67020019531196</v>
      </c>
      <c r="E1149" t="str">
        <f t="shared" si="66"/>
        <v>Sell</v>
      </c>
      <c r="F1149">
        <f t="shared" si="68"/>
        <v>0</v>
      </c>
      <c r="G1149">
        <f t="shared" si="67"/>
        <v>0</v>
      </c>
      <c r="H1149" s="12" cm="1">
        <f t="array" ref="H1149">PRODUCT(1+G$2:G1149)-1</f>
        <v>0.42387954908303715</v>
      </c>
      <c r="I1149">
        <f>H1149-MAX(H$2:H1149)</f>
        <v>-6.8848378434793744E-3</v>
      </c>
      <c r="L1149" s="2">
        <f t="shared" si="69"/>
        <v>0.74493373290481335</v>
      </c>
    </row>
    <row r="1150" spans="1:12" x14ac:dyDescent="0.25">
      <c r="A1150" s="1">
        <v>45580</v>
      </c>
      <c r="B1150">
        <v>584.59002685546795</v>
      </c>
      <c r="C1150">
        <v>572.25350036621001</v>
      </c>
      <c r="D1150">
        <v>559.12920043945303</v>
      </c>
      <c r="E1150" t="str">
        <f t="shared" si="66"/>
        <v>Sell</v>
      </c>
      <c r="F1150">
        <f t="shared" si="68"/>
        <v>0</v>
      </c>
      <c r="G1150">
        <f t="shared" si="67"/>
        <v>0</v>
      </c>
      <c r="H1150" s="12" cm="1">
        <f t="array" ref="H1150">PRODUCT(1+G$2:G1150)-1</f>
        <v>0.42387954908303715</v>
      </c>
      <c r="I1150">
        <f>H1150-MAX(H$2:H1150)</f>
        <v>-6.8848378434793744E-3</v>
      </c>
      <c r="L1150" s="2">
        <f t="shared" si="69"/>
        <v>0.75505128728769644</v>
      </c>
    </row>
    <row r="1151" spans="1:12" x14ac:dyDescent="0.25">
      <c r="A1151" s="1">
        <v>45581</v>
      </c>
      <c r="B1151">
        <v>579.780029296875</v>
      </c>
      <c r="C1151">
        <v>573.05550231933501</v>
      </c>
      <c r="D1151">
        <v>560.34040161132805</v>
      </c>
      <c r="E1151" t="str">
        <f t="shared" si="66"/>
        <v>Sell</v>
      </c>
      <c r="F1151">
        <f t="shared" si="68"/>
        <v>0</v>
      </c>
      <c r="G1151">
        <f t="shared" si="67"/>
        <v>0</v>
      </c>
      <c r="H1151" s="12" cm="1">
        <f t="array" ref="H1151">PRODUCT(1+G$2:G1151)-1</f>
        <v>0.42387954908303715</v>
      </c>
      <c r="I1151">
        <f>H1151-MAX(H$2:H1151)</f>
        <v>-6.8848378434793744E-3</v>
      </c>
      <c r="L1151" s="2">
        <f t="shared" si="69"/>
        <v>0.74061075286313927</v>
      </c>
    </row>
    <row r="1152" spans="1:12" x14ac:dyDescent="0.25">
      <c r="A1152" s="1">
        <v>45582</v>
      </c>
      <c r="B1152">
        <v>585.90997314453102</v>
      </c>
      <c r="C1152">
        <v>573.80050048828105</v>
      </c>
      <c r="D1152">
        <v>561.48920166015603</v>
      </c>
      <c r="E1152" t="str">
        <f t="shared" si="66"/>
        <v>Sell</v>
      </c>
      <c r="F1152">
        <f t="shared" si="68"/>
        <v>0</v>
      </c>
      <c r="G1152">
        <f t="shared" si="67"/>
        <v>0</v>
      </c>
      <c r="H1152" s="12" cm="1">
        <f t="array" ref="H1152">PRODUCT(1+G$2:G1152)-1</f>
        <v>0.42387954908303715</v>
      </c>
      <c r="I1152">
        <f>H1152-MAX(H$2:H1152)</f>
        <v>-6.8848378434793744E-3</v>
      </c>
      <c r="L1152" s="2">
        <f t="shared" si="69"/>
        <v>0.75901401899256615</v>
      </c>
    </row>
    <row r="1153" spans="1:12" x14ac:dyDescent="0.25">
      <c r="A1153" s="1">
        <v>45583</v>
      </c>
      <c r="B1153">
        <v>584.07000732421795</v>
      </c>
      <c r="C1153">
        <v>574.61199951171795</v>
      </c>
      <c r="D1153">
        <v>562.692402343749</v>
      </c>
      <c r="E1153" t="str">
        <f t="shared" si="66"/>
        <v>Sell</v>
      </c>
      <c r="F1153">
        <f t="shared" si="68"/>
        <v>0</v>
      </c>
      <c r="G1153">
        <f t="shared" si="67"/>
        <v>0</v>
      </c>
      <c r="H1153" s="12" cm="1">
        <f t="array" ref="H1153">PRODUCT(1+G$2:G1153)-1</f>
        <v>0.42387954908303715</v>
      </c>
      <c r="I1153">
        <f>H1153-MAX(H$2:H1153)</f>
        <v>-6.8848378434793744E-3</v>
      </c>
      <c r="L1153" s="2">
        <f t="shared" si="69"/>
        <v>0.75349008900204617</v>
      </c>
    </row>
    <row r="1154" spans="1:12" x14ac:dyDescent="0.25">
      <c r="A1154" s="1">
        <v>45586</v>
      </c>
      <c r="B1154">
        <v>583.84997558593705</v>
      </c>
      <c r="C1154">
        <v>575.33749694824201</v>
      </c>
      <c r="D1154">
        <v>563.773201904296</v>
      </c>
      <c r="E1154" t="str">
        <f t="shared" si="66"/>
        <v>Sell</v>
      </c>
      <c r="F1154">
        <f t="shared" si="68"/>
        <v>0</v>
      </c>
      <c r="G1154">
        <f t="shared" si="67"/>
        <v>0</v>
      </c>
      <c r="H1154" s="12" cm="1">
        <f t="array" ref="H1154">PRODUCT(1+G$2:G1154)-1</f>
        <v>0.42387954908303715</v>
      </c>
      <c r="I1154">
        <f>H1154-MAX(H$2:H1154)</f>
        <v>-6.8848378434793744E-3</v>
      </c>
      <c r="L1154" s="2">
        <f t="shared" si="69"/>
        <v>0.75282951155841227</v>
      </c>
    </row>
    <row r="1155" spans="1:12" x14ac:dyDescent="0.25">
      <c r="A1155" s="1">
        <v>45587</v>
      </c>
      <c r="B1155">
        <v>581.04998779296795</v>
      </c>
      <c r="C1155">
        <v>575.86599731445301</v>
      </c>
      <c r="D1155">
        <v>564.71000122070302</v>
      </c>
      <c r="E1155" t="str">
        <f t="shared" ref="E1155:E1218" si="70">IF(OR(ISBLANK(C1155),ISBLANK(D1155),ISBLANK(C1156),ISBLANK(D1156)), "Hold", IF(AND(C1155&gt;C1156,C1156&lt;=D1156), "Buy", IF(AND(C1155&lt;C1156,C1156&gt;=D1156), "Sell", "Hold")))</f>
        <v>Sell</v>
      </c>
      <c r="F1155">
        <f t="shared" si="68"/>
        <v>0</v>
      </c>
      <c r="G1155">
        <f t="shared" ref="G1155:G1218" si="71">IF(F1155=1,(B1156-B1155)/B1155,0)</f>
        <v>0</v>
      </c>
      <c r="H1155" s="12" cm="1">
        <f t="array" ref="H1155">PRODUCT(1+G$2:G1155)-1</f>
        <v>0.42387954908303715</v>
      </c>
      <c r="I1155">
        <f>H1155-MAX(H$2:H1155)</f>
        <v>-6.8848378434793744E-3</v>
      </c>
      <c r="L1155" s="2">
        <f t="shared" si="69"/>
        <v>0.74442341163420811</v>
      </c>
    </row>
    <row r="1156" spans="1:12" x14ac:dyDescent="0.25">
      <c r="A1156" s="1">
        <v>45588</v>
      </c>
      <c r="B1156">
        <v>581.260009765625</v>
      </c>
      <c r="C1156">
        <v>576.37199707031198</v>
      </c>
      <c r="D1156">
        <v>565.60460083007797</v>
      </c>
      <c r="E1156" t="str">
        <f t="shared" si="70"/>
        <v>Sell</v>
      </c>
      <c r="F1156">
        <f t="shared" ref="F1156:F1219" si="72">IF(E1156="Buy",1, IF(E1156="Sell",0,F1155))</f>
        <v>0</v>
      </c>
      <c r="G1156">
        <f t="shared" si="71"/>
        <v>0</v>
      </c>
      <c r="H1156" s="12" cm="1">
        <f t="array" ref="H1156">PRODUCT(1+G$2:G1156)-1</f>
        <v>0.42387954908303715</v>
      </c>
      <c r="I1156">
        <f>H1156-MAX(H$2:H1156)</f>
        <v>-6.8848378434793744E-3</v>
      </c>
      <c r="L1156" s="2">
        <f t="shared" si="69"/>
        <v>0.74505393784323903</v>
      </c>
    </row>
    <row r="1157" spans="1:12" x14ac:dyDescent="0.25">
      <c r="A1157" s="1">
        <v>45589</v>
      </c>
      <c r="B1157">
        <v>579.97998046875</v>
      </c>
      <c r="C1157">
        <v>576.65199584960897</v>
      </c>
      <c r="D1157">
        <v>566.34720092773398</v>
      </c>
      <c r="E1157" t="str">
        <f t="shared" si="70"/>
        <v>Sell</v>
      </c>
      <c r="F1157">
        <f t="shared" si="72"/>
        <v>0</v>
      </c>
      <c r="G1157">
        <f t="shared" si="71"/>
        <v>0</v>
      </c>
      <c r="H1157" s="12" cm="1">
        <f t="array" ref="H1157">PRODUCT(1+G$2:G1157)-1</f>
        <v>0.42387954908303715</v>
      </c>
      <c r="I1157">
        <f>H1157-MAX(H$2:H1157)</f>
        <v>-6.8848378434793744E-3</v>
      </c>
      <c r="L1157" s="2">
        <f t="shared" si="69"/>
        <v>0.74121104459832587</v>
      </c>
    </row>
    <row r="1158" spans="1:12" x14ac:dyDescent="0.25">
      <c r="A1158" s="1">
        <v>45590</v>
      </c>
      <c r="B1158">
        <v>581.510009765625</v>
      </c>
      <c r="C1158">
        <v>577.05799560546802</v>
      </c>
      <c r="D1158">
        <v>566.98740112304597</v>
      </c>
      <c r="E1158" t="str">
        <f t="shared" si="70"/>
        <v>Sell</v>
      </c>
      <c r="F1158">
        <f t="shared" si="72"/>
        <v>0</v>
      </c>
      <c r="G1158">
        <f t="shared" si="71"/>
        <v>0</v>
      </c>
      <c r="H1158" s="12" cm="1">
        <f t="array" ref="H1158">PRODUCT(1+G$2:G1158)-1</f>
        <v>0.42387954908303715</v>
      </c>
      <c r="I1158">
        <f>H1158-MAX(H$2:H1158)</f>
        <v>-6.8848378434793744E-3</v>
      </c>
      <c r="L1158" s="2">
        <f t="shared" si="69"/>
        <v>0.74580448575145775</v>
      </c>
    </row>
    <row r="1159" spans="1:12" x14ac:dyDescent="0.25">
      <c r="A1159" s="1">
        <v>45593</v>
      </c>
      <c r="B1159">
        <v>582.58001708984295</v>
      </c>
      <c r="C1159">
        <v>577.66599731445297</v>
      </c>
      <c r="D1159">
        <v>567.61060180664003</v>
      </c>
      <c r="E1159" t="str">
        <f t="shared" si="70"/>
        <v>Sell</v>
      </c>
      <c r="F1159">
        <f t="shared" si="72"/>
        <v>0</v>
      </c>
      <c r="G1159">
        <f t="shared" si="71"/>
        <v>0</v>
      </c>
      <c r="H1159" s="12" cm="1">
        <f t="array" ref="H1159">PRODUCT(1+G$2:G1159)-1</f>
        <v>0.42387954908303715</v>
      </c>
      <c r="I1159">
        <f>H1159-MAX(H$2:H1159)</f>
        <v>-6.8848378434793744E-3</v>
      </c>
      <c r="L1159" s="2">
        <f t="shared" ref="L1159:L1222" si="73">(B1159-B$134)/B$134</f>
        <v>0.74901685278733998</v>
      </c>
    </row>
    <row r="1160" spans="1:12" x14ac:dyDescent="0.25">
      <c r="A1160" s="1">
        <v>45594</v>
      </c>
      <c r="B1160">
        <v>579.84997558593705</v>
      </c>
      <c r="C1160">
        <v>577.98849487304597</v>
      </c>
      <c r="D1160">
        <v>568.11300170898403</v>
      </c>
      <c r="E1160" t="str">
        <f t="shared" si="70"/>
        <v>Sell</v>
      </c>
      <c r="F1160">
        <f t="shared" si="72"/>
        <v>0</v>
      </c>
      <c r="G1160">
        <f t="shared" si="71"/>
        <v>0</v>
      </c>
      <c r="H1160" s="12" cm="1">
        <f t="array" ref="H1160">PRODUCT(1+G$2:G1160)-1</f>
        <v>0.42387954908303715</v>
      </c>
      <c r="I1160">
        <f>H1160-MAX(H$2:H1160)</f>
        <v>-6.8848378434793744E-3</v>
      </c>
      <c r="L1160" s="2">
        <f t="shared" si="73"/>
        <v>0.74082074502691198</v>
      </c>
    </row>
    <row r="1161" spans="1:12" x14ac:dyDescent="0.25">
      <c r="A1161" s="1">
        <v>45595</v>
      </c>
      <c r="B1161">
        <v>581.28997802734295</v>
      </c>
      <c r="C1161">
        <v>578.66749267578098</v>
      </c>
      <c r="D1161">
        <v>568.55580078125001</v>
      </c>
      <c r="E1161" t="str">
        <f t="shared" si="70"/>
        <v>Sell</v>
      </c>
      <c r="F1161">
        <f t="shared" si="72"/>
        <v>0</v>
      </c>
      <c r="G1161">
        <f t="shared" si="71"/>
        <v>0</v>
      </c>
      <c r="H1161" s="12" cm="1">
        <f t="array" ref="H1161">PRODUCT(1+G$2:G1161)-1</f>
        <v>0.42387954908303715</v>
      </c>
      <c r="I1161">
        <f>H1161-MAX(H$2:H1161)</f>
        <v>-6.8848378434793744E-3</v>
      </c>
      <c r="L1161" s="2">
        <f t="shared" si="73"/>
        <v>0.7451439083078204</v>
      </c>
    </row>
    <row r="1162" spans="1:12" x14ac:dyDescent="0.25">
      <c r="A1162" s="1">
        <v>45596</v>
      </c>
      <c r="B1162">
        <v>575.55999755859295</v>
      </c>
      <c r="C1162">
        <v>579.07749328613204</v>
      </c>
      <c r="D1162">
        <v>568.87160034179601</v>
      </c>
      <c r="E1162" t="str">
        <f t="shared" si="70"/>
        <v>Hold</v>
      </c>
      <c r="F1162">
        <f t="shared" si="72"/>
        <v>0</v>
      </c>
      <c r="G1162">
        <f t="shared" si="71"/>
        <v>0</v>
      </c>
      <c r="H1162" s="12" cm="1">
        <f t="array" ref="H1162">PRODUCT(1+G$2:G1162)-1</f>
        <v>0.42387954908303715</v>
      </c>
      <c r="I1162">
        <f>H1162-MAX(H$2:H1162)</f>
        <v>-6.8848378434793744E-3</v>
      </c>
      <c r="L1162" s="2">
        <f t="shared" si="73"/>
        <v>0.72794140888800163</v>
      </c>
    </row>
    <row r="1163" spans="1:12" x14ac:dyDescent="0.25">
      <c r="A1163" s="1">
        <v>45597</v>
      </c>
      <c r="B1163">
        <v>571.32000732421795</v>
      </c>
      <c r="C1163">
        <v>579.02599487304599</v>
      </c>
      <c r="D1163">
        <v>569.04680053710899</v>
      </c>
      <c r="E1163" t="str">
        <f t="shared" si="70"/>
        <v>Hold</v>
      </c>
      <c r="F1163">
        <f t="shared" si="72"/>
        <v>0</v>
      </c>
      <c r="G1163">
        <f t="shared" si="71"/>
        <v>0</v>
      </c>
      <c r="H1163" s="12" cm="1">
        <f t="array" ref="H1163">PRODUCT(1+G$2:G1163)-1</f>
        <v>0.42387954908303715</v>
      </c>
      <c r="I1163">
        <f>H1163-MAX(H$2:H1163)</f>
        <v>-6.8848378434793744E-3</v>
      </c>
      <c r="L1163" s="2">
        <f t="shared" si="73"/>
        <v>0.71521214568288904</v>
      </c>
    </row>
    <row r="1164" spans="1:12" x14ac:dyDescent="0.25">
      <c r="A1164" s="1">
        <v>45600</v>
      </c>
      <c r="B1164">
        <v>571.17999267578102</v>
      </c>
      <c r="C1164">
        <v>579.01999511718702</v>
      </c>
      <c r="D1164">
        <v>569.27979980468695</v>
      </c>
      <c r="E1164" t="str">
        <f t="shared" si="70"/>
        <v>Sell</v>
      </c>
      <c r="F1164">
        <f t="shared" si="72"/>
        <v>0</v>
      </c>
      <c r="G1164">
        <f t="shared" si="71"/>
        <v>0</v>
      </c>
      <c r="H1164" s="12" cm="1">
        <f t="array" ref="H1164">PRODUCT(1+G$2:G1164)-1</f>
        <v>0.42387954908303715</v>
      </c>
      <c r="I1164">
        <f>H1164-MAX(H$2:H1164)</f>
        <v>-6.8848378434793744E-3</v>
      </c>
      <c r="L1164" s="2">
        <f t="shared" si="73"/>
        <v>0.71479179487687172</v>
      </c>
    </row>
    <row r="1165" spans="1:12" x14ac:dyDescent="0.25">
      <c r="A1165" s="1">
        <v>45601</v>
      </c>
      <c r="B1165">
        <v>570.739990234375</v>
      </c>
      <c r="C1165">
        <v>579.03599548339798</v>
      </c>
      <c r="D1165">
        <v>569.43099975585903</v>
      </c>
      <c r="E1165" t="str">
        <f t="shared" si="70"/>
        <v>Sell</v>
      </c>
      <c r="F1165">
        <f t="shared" si="72"/>
        <v>0</v>
      </c>
      <c r="G1165">
        <f t="shared" si="71"/>
        <v>0</v>
      </c>
      <c r="H1165" s="12" cm="1">
        <f t="array" ref="H1165">PRODUCT(1+G$2:G1165)-1</f>
        <v>0.42387954908303715</v>
      </c>
      <c r="I1165">
        <f>H1165-MAX(H$2:H1165)</f>
        <v>-6.8848378434793744E-3</v>
      </c>
      <c r="L1165" s="2">
        <f t="shared" si="73"/>
        <v>0.71347082322883792</v>
      </c>
    </row>
    <row r="1166" spans="1:12" x14ac:dyDescent="0.25">
      <c r="A1166" s="1">
        <v>45602</v>
      </c>
      <c r="B1166">
        <v>589.20001220703102</v>
      </c>
      <c r="C1166">
        <v>579.83799743652298</v>
      </c>
      <c r="D1166">
        <v>570.02520019531198</v>
      </c>
      <c r="E1166" t="str">
        <f t="shared" si="70"/>
        <v>Sell</v>
      </c>
      <c r="F1166">
        <f t="shared" si="72"/>
        <v>0</v>
      </c>
      <c r="G1166">
        <f t="shared" si="71"/>
        <v>0</v>
      </c>
      <c r="H1166" s="12" cm="1">
        <f t="array" ref="H1166">PRODUCT(1+G$2:G1166)-1</f>
        <v>0.42387954908303715</v>
      </c>
      <c r="I1166">
        <f>H1166-MAX(H$2:H1166)</f>
        <v>-6.8848378434793744E-3</v>
      </c>
      <c r="L1166" s="2">
        <f t="shared" si="73"/>
        <v>0.76889134673783577</v>
      </c>
    </row>
    <row r="1167" spans="1:12" x14ac:dyDescent="0.25">
      <c r="A1167" s="1">
        <v>45603</v>
      </c>
      <c r="B1167">
        <v>593.08001708984295</v>
      </c>
      <c r="C1167">
        <v>580.70349731445299</v>
      </c>
      <c r="D1167">
        <v>570.66260009765597</v>
      </c>
      <c r="E1167" t="str">
        <f t="shared" si="70"/>
        <v>Sell</v>
      </c>
      <c r="F1167">
        <f t="shared" si="72"/>
        <v>0</v>
      </c>
      <c r="G1167">
        <f t="shared" si="71"/>
        <v>0</v>
      </c>
      <c r="H1167" s="12" cm="1">
        <f t="array" ref="H1167">PRODUCT(1+G$2:G1167)-1</f>
        <v>0.42387954908303715</v>
      </c>
      <c r="I1167">
        <f>H1167-MAX(H$2:H1167)</f>
        <v>-6.8848378434793744E-3</v>
      </c>
      <c r="L1167" s="2">
        <f t="shared" si="73"/>
        <v>0.78053986493252814</v>
      </c>
    </row>
    <row r="1168" spans="1:12" x14ac:dyDescent="0.25">
      <c r="A1168" s="1">
        <v>45604</v>
      </c>
      <c r="B1168">
        <v>596.16998291015602</v>
      </c>
      <c r="C1168">
        <v>581.70949707031195</v>
      </c>
      <c r="D1168">
        <v>571.37979980468697</v>
      </c>
      <c r="E1168" t="str">
        <f t="shared" si="70"/>
        <v>Sell</v>
      </c>
      <c r="F1168">
        <f t="shared" si="72"/>
        <v>0</v>
      </c>
      <c r="G1168">
        <f t="shared" si="71"/>
        <v>0</v>
      </c>
      <c r="H1168" s="12" cm="1">
        <f t="array" ref="H1168">PRODUCT(1+G$2:G1168)-1</f>
        <v>0.42387954908303715</v>
      </c>
      <c r="I1168">
        <f>H1168-MAX(H$2:H1168)</f>
        <v>-6.8848378434793744E-3</v>
      </c>
      <c r="L1168" s="2">
        <f t="shared" si="73"/>
        <v>0.78981653446414202</v>
      </c>
    </row>
    <row r="1169" spans="1:12" x14ac:dyDescent="0.25">
      <c r="A1169" s="1">
        <v>45607</v>
      </c>
      <c r="B1169">
        <v>599.80999755859295</v>
      </c>
      <c r="C1169">
        <v>582.63899841308501</v>
      </c>
      <c r="D1169">
        <v>572.16059936523402</v>
      </c>
      <c r="E1169" t="str">
        <f t="shared" si="70"/>
        <v>Sell</v>
      </c>
      <c r="F1169">
        <f t="shared" si="72"/>
        <v>0</v>
      </c>
      <c r="G1169">
        <f t="shared" si="71"/>
        <v>0</v>
      </c>
      <c r="H1169" s="12" cm="1">
        <f t="array" ref="H1169">PRODUCT(1+G$2:G1169)-1</f>
        <v>0.42387954908303715</v>
      </c>
      <c r="I1169">
        <f>H1169-MAX(H$2:H1169)</f>
        <v>-6.8848378434793744E-3</v>
      </c>
      <c r="L1169" s="2">
        <f t="shared" si="73"/>
        <v>0.80074455598522198</v>
      </c>
    </row>
    <row r="1170" spans="1:12" x14ac:dyDescent="0.25">
      <c r="A1170" s="1">
        <v>45608</v>
      </c>
      <c r="B1170">
        <v>598.67999267578102</v>
      </c>
      <c r="C1170">
        <v>583.34349670410097</v>
      </c>
      <c r="D1170">
        <v>572.92479980468704</v>
      </c>
      <c r="E1170" t="str">
        <f t="shared" si="70"/>
        <v>Sell</v>
      </c>
      <c r="F1170">
        <f t="shared" si="72"/>
        <v>0</v>
      </c>
      <c r="G1170">
        <f t="shared" si="71"/>
        <v>0</v>
      </c>
      <c r="H1170" s="12" cm="1">
        <f t="array" ref="H1170">PRODUCT(1+G$2:G1170)-1</f>
        <v>0.42387954908303715</v>
      </c>
      <c r="I1170">
        <f>H1170-MAX(H$2:H1170)</f>
        <v>-6.8848378434793744E-3</v>
      </c>
      <c r="L1170" s="2">
        <f t="shared" si="73"/>
        <v>0.79735206478093601</v>
      </c>
    </row>
    <row r="1171" spans="1:12" x14ac:dyDescent="0.25">
      <c r="A1171" s="1">
        <v>45609</v>
      </c>
      <c r="B1171">
        <v>597.36999511718705</v>
      </c>
      <c r="C1171">
        <v>584.22299499511701</v>
      </c>
      <c r="D1171">
        <v>573.86819946288995</v>
      </c>
      <c r="E1171" t="str">
        <f t="shared" si="70"/>
        <v>Sell</v>
      </c>
      <c r="F1171">
        <f t="shared" si="72"/>
        <v>0</v>
      </c>
      <c r="G1171">
        <f t="shared" si="71"/>
        <v>0</v>
      </c>
      <c r="H1171" s="12" cm="1">
        <f t="array" ref="H1171">PRODUCT(1+G$2:G1171)-1</f>
        <v>0.42387954908303715</v>
      </c>
      <c r="I1171">
        <f>H1171-MAX(H$2:H1171)</f>
        <v>-6.8848378434793744E-3</v>
      </c>
      <c r="L1171" s="2">
        <f t="shared" si="73"/>
        <v>0.79341920107143848</v>
      </c>
    </row>
    <row r="1172" spans="1:12" x14ac:dyDescent="0.25">
      <c r="A1172" s="1">
        <v>45610</v>
      </c>
      <c r="B1172">
        <v>597.32000732421795</v>
      </c>
      <c r="C1172">
        <v>584.79349670410102</v>
      </c>
      <c r="D1172">
        <v>574.79679931640601</v>
      </c>
      <c r="E1172" t="str">
        <f t="shared" si="70"/>
        <v>Sell</v>
      </c>
      <c r="F1172">
        <f t="shared" si="72"/>
        <v>0</v>
      </c>
      <c r="G1172">
        <f t="shared" si="71"/>
        <v>0</v>
      </c>
      <c r="H1172" s="12" cm="1">
        <f t="array" ref="H1172">PRODUCT(1+G$2:G1172)-1</f>
        <v>0.42387954908303715</v>
      </c>
      <c r="I1172">
        <f>H1172-MAX(H$2:H1172)</f>
        <v>-6.8848378434793744E-3</v>
      </c>
      <c r="L1172" s="2">
        <f t="shared" si="73"/>
        <v>0.79326912813764072</v>
      </c>
    </row>
    <row r="1173" spans="1:12" x14ac:dyDescent="0.25">
      <c r="A1173" s="1">
        <v>45611</v>
      </c>
      <c r="B1173">
        <v>589.719970703125</v>
      </c>
      <c r="C1173">
        <v>585.07599487304606</v>
      </c>
      <c r="D1173">
        <v>575.59239868164002</v>
      </c>
      <c r="E1173" t="str">
        <f t="shared" si="70"/>
        <v>Sell</v>
      </c>
      <c r="F1173">
        <f t="shared" si="72"/>
        <v>0</v>
      </c>
      <c r="G1173">
        <f t="shared" si="71"/>
        <v>0</v>
      </c>
      <c r="H1173" s="12" cm="1">
        <f t="array" ref="H1173">PRODUCT(1+G$2:G1173)-1</f>
        <v>0.42387954908303715</v>
      </c>
      <c r="I1173">
        <f>H1173-MAX(H$2:H1173)</f>
        <v>-6.8848378434793744E-3</v>
      </c>
      <c r="L1173" s="2">
        <f t="shared" si="73"/>
        <v>0.77045236178425136</v>
      </c>
    </row>
    <row r="1174" spans="1:12" x14ac:dyDescent="0.25">
      <c r="A1174" s="1">
        <v>45614</v>
      </c>
      <c r="B1174">
        <v>586.219970703125</v>
      </c>
      <c r="C1174">
        <v>585.194494628906</v>
      </c>
      <c r="D1174">
        <v>576.42379760742097</v>
      </c>
      <c r="E1174" t="str">
        <f t="shared" si="70"/>
        <v>Sell</v>
      </c>
      <c r="F1174">
        <f t="shared" si="72"/>
        <v>0</v>
      </c>
      <c r="G1174">
        <f t="shared" si="71"/>
        <v>0</v>
      </c>
      <c r="H1174" s="12" cm="1">
        <f t="array" ref="H1174">PRODUCT(1+G$2:G1174)-1</f>
        <v>0.42387954908303715</v>
      </c>
      <c r="I1174">
        <f>H1174-MAX(H$2:H1174)</f>
        <v>-6.8848378434793744E-3</v>
      </c>
      <c r="L1174" s="2">
        <f t="shared" si="73"/>
        <v>0.75994469106918872</v>
      </c>
    </row>
    <row r="1175" spans="1:12" x14ac:dyDescent="0.25">
      <c r="A1175" s="1">
        <v>45615</v>
      </c>
      <c r="B1175">
        <v>584.71002197265602</v>
      </c>
      <c r="C1175">
        <v>585.37749633788997</v>
      </c>
      <c r="D1175">
        <v>577.15079833984305</v>
      </c>
      <c r="E1175" t="str">
        <f t="shared" si="70"/>
        <v>Sell</v>
      </c>
      <c r="F1175">
        <f t="shared" si="72"/>
        <v>0</v>
      </c>
      <c r="G1175">
        <f t="shared" si="71"/>
        <v>0</v>
      </c>
      <c r="H1175" s="12" cm="1">
        <f t="array" ref="H1175">PRODUCT(1+G$2:G1175)-1</f>
        <v>0.42387954908303715</v>
      </c>
      <c r="I1175">
        <f>H1175-MAX(H$2:H1175)</f>
        <v>-6.8848378434793744E-3</v>
      </c>
      <c r="L1175" s="2">
        <f t="shared" si="73"/>
        <v>0.75541153562450436</v>
      </c>
    </row>
    <row r="1176" spans="1:12" x14ac:dyDescent="0.25">
      <c r="A1176" s="1">
        <v>45616</v>
      </c>
      <c r="B1176">
        <v>590.38000488281205</v>
      </c>
      <c r="C1176">
        <v>585.83349609375</v>
      </c>
      <c r="D1176">
        <v>577.98439819335897</v>
      </c>
      <c r="E1176" t="str">
        <f t="shared" si="70"/>
        <v>Sell</v>
      </c>
      <c r="F1176">
        <f t="shared" si="72"/>
        <v>0</v>
      </c>
      <c r="G1176">
        <f t="shared" si="71"/>
        <v>0</v>
      </c>
      <c r="H1176" s="12" cm="1">
        <f t="array" ref="H1176">PRODUCT(1+G$2:G1176)-1</f>
        <v>0.42387954908303715</v>
      </c>
      <c r="I1176">
        <f>H1176-MAX(H$2:H1176)</f>
        <v>-6.8848378434793744E-3</v>
      </c>
      <c r="L1176" s="2">
        <f t="shared" si="73"/>
        <v>0.77243391087591939</v>
      </c>
    </row>
    <row r="1177" spans="1:12" x14ac:dyDescent="0.25">
      <c r="A1177" s="1">
        <v>45617</v>
      </c>
      <c r="B1177">
        <v>593.40002441406205</v>
      </c>
      <c r="C1177">
        <v>586.50449829101501</v>
      </c>
      <c r="D1177">
        <v>578.75219848632798</v>
      </c>
      <c r="E1177" t="str">
        <f t="shared" si="70"/>
        <v>Sell</v>
      </c>
      <c r="F1177">
        <f t="shared" si="72"/>
        <v>0</v>
      </c>
      <c r="G1177">
        <f t="shared" si="71"/>
        <v>0</v>
      </c>
      <c r="H1177" s="12" cm="1">
        <f t="array" ref="H1177">PRODUCT(1+G$2:G1177)-1</f>
        <v>0.42387954908303715</v>
      </c>
      <c r="I1177">
        <f>H1177-MAX(H$2:H1177)</f>
        <v>-6.8848378434793744E-3</v>
      </c>
      <c r="L1177" s="2">
        <f t="shared" si="73"/>
        <v>0.78150058824375745</v>
      </c>
    </row>
    <row r="1178" spans="1:12" x14ac:dyDescent="0.25">
      <c r="A1178" s="1">
        <v>45618</v>
      </c>
      <c r="B1178">
        <v>593.65997314453102</v>
      </c>
      <c r="C1178">
        <v>587.11199645995998</v>
      </c>
      <c r="D1178">
        <v>579.43119750976496</v>
      </c>
      <c r="E1178" t="str">
        <f t="shared" si="70"/>
        <v>Sell</v>
      </c>
      <c r="F1178">
        <f t="shared" si="72"/>
        <v>0</v>
      </c>
      <c r="G1178">
        <f t="shared" si="71"/>
        <v>0</v>
      </c>
      <c r="H1178" s="12" cm="1">
        <f t="array" ref="H1178">PRODUCT(1+G$2:G1178)-1</f>
        <v>0.42387954908303715</v>
      </c>
      <c r="I1178">
        <f>H1178-MAX(H$2:H1178)</f>
        <v>-6.8848378434793744E-3</v>
      </c>
      <c r="L1178" s="2">
        <f t="shared" si="73"/>
        <v>0.78228100414734791</v>
      </c>
    </row>
    <row r="1179" spans="1:12" x14ac:dyDescent="0.25">
      <c r="A1179" s="1">
        <v>45621</v>
      </c>
      <c r="B1179">
        <v>599.52001953125</v>
      </c>
      <c r="C1179">
        <v>587.95899658203098</v>
      </c>
      <c r="D1179">
        <v>580.18679809570301</v>
      </c>
      <c r="E1179" t="str">
        <f t="shared" si="70"/>
        <v>Sell</v>
      </c>
      <c r="F1179">
        <f t="shared" si="72"/>
        <v>0</v>
      </c>
      <c r="G1179">
        <f t="shared" si="71"/>
        <v>0</v>
      </c>
      <c r="H1179" s="12" cm="1">
        <f t="array" ref="H1179">PRODUCT(1+G$2:G1179)-1</f>
        <v>0.42387954908303715</v>
      </c>
      <c r="I1179">
        <f>H1179-MAX(H$2:H1179)</f>
        <v>-6.8848378434793744E-3</v>
      </c>
      <c r="L1179" s="2">
        <f t="shared" si="73"/>
        <v>0.79987398637781537</v>
      </c>
    </row>
    <row r="1180" spans="1:12" x14ac:dyDescent="0.25">
      <c r="A1180" s="1">
        <v>45622</v>
      </c>
      <c r="B1180">
        <v>598.79998779296795</v>
      </c>
      <c r="C1180">
        <v>588.90649719238195</v>
      </c>
      <c r="D1180">
        <v>580.86079833984297</v>
      </c>
      <c r="E1180" t="str">
        <f t="shared" si="70"/>
        <v>Sell</v>
      </c>
      <c r="F1180">
        <f t="shared" si="72"/>
        <v>0</v>
      </c>
      <c r="G1180">
        <f t="shared" si="71"/>
        <v>0</v>
      </c>
      <c r="H1180" s="12" cm="1">
        <f t="array" ref="H1180">PRODUCT(1+G$2:G1180)-1</f>
        <v>0.42387954908303715</v>
      </c>
      <c r="I1180">
        <f>H1180-MAX(H$2:H1180)</f>
        <v>-6.8848378434793744E-3</v>
      </c>
      <c r="L1180" s="2">
        <f t="shared" si="73"/>
        <v>0.79771231311774049</v>
      </c>
    </row>
    <row r="1181" spans="1:12" x14ac:dyDescent="0.25">
      <c r="A1181" s="1">
        <v>45623</v>
      </c>
      <c r="B1181">
        <v>600.46002197265602</v>
      </c>
      <c r="C1181">
        <v>589.86499938964801</v>
      </c>
      <c r="D1181">
        <v>581.59519897460905</v>
      </c>
      <c r="E1181" t="str">
        <f t="shared" si="70"/>
        <v>Sell</v>
      </c>
      <c r="F1181">
        <f t="shared" si="72"/>
        <v>0</v>
      </c>
      <c r="G1181">
        <f t="shared" si="71"/>
        <v>0</v>
      </c>
      <c r="H1181" s="12" cm="1">
        <f t="array" ref="H1181">PRODUCT(1+G$2:G1181)-1</f>
        <v>0.42387954908303715</v>
      </c>
      <c r="I1181">
        <f>H1181-MAX(H$2:H1181)</f>
        <v>-6.8848378434793744E-3</v>
      </c>
      <c r="L1181" s="2">
        <f t="shared" si="73"/>
        <v>0.80269605384228671</v>
      </c>
    </row>
    <row r="1182" spans="1:12" x14ac:dyDescent="0.25">
      <c r="A1182" s="1">
        <v>45625</v>
      </c>
      <c r="B1182">
        <v>599.65997314453102</v>
      </c>
      <c r="C1182">
        <v>591.06999816894495</v>
      </c>
      <c r="D1182">
        <v>582.16819824218703</v>
      </c>
      <c r="E1182" t="str">
        <f t="shared" si="70"/>
        <v>Sell</v>
      </c>
      <c r="F1182">
        <f t="shared" si="72"/>
        <v>0</v>
      </c>
      <c r="G1182">
        <f t="shared" si="71"/>
        <v>0</v>
      </c>
      <c r="H1182" s="12" cm="1">
        <f t="array" ref="H1182">PRODUCT(1+G$2:G1182)-1</f>
        <v>0.42387954908303715</v>
      </c>
      <c r="I1182">
        <f>H1182-MAX(H$2:H1182)</f>
        <v>-6.8848378434793744E-3</v>
      </c>
      <c r="L1182" s="2">
        <f t="shared" si="73"/>
        <v>0.80029415394459835</v>
      </c>
    </row>
    <row r="1183" spans="1:12" x14ac:dyDescent="0.25">
      <c r="A1183" s="1">
        <v>45628</v>
      </c>
      <c r="B1183">
        <v>602.969970703125</v>
      </c>
      <c r="C1183">
        <v>592.65249633789006</v>
      </c>
      <c r="D1183">
        <v>582.87079711913998</v>
      </c>
      <c r="E1183" t="str">
        <f t="shared" si="70"/>
        <v>Sell</v>
      </c>
      <c r="F1183">
        <f t="shared" si="72"/>
        <v>0</v>
      </c>
      <c r="G1183">
        <f t="shared" si="71"/>
        <v>0</v>
      </c>
      <c r="H1183" s="12" cm="1">
        <f t="array" ref="H1183">PRODUCT(1+G$2:G1183)-1</f>
        <v>0.42387954908303715</v>
      </c>
      <c r="I1183">
        <f>H1183-MAX(H$2:H1183)</f>
        <v>-6.8848378434793744E-3</v>
      </c>
      <c r="L1183" s="2">
        <f t="shared" si="73"/>
        <v>0.81023140091984602</v>
      </c>
    </row>
    <row r="1184" spans="1:12" x14ac:dyDescent="0.25">
      <c r="A1184" s="1">
        <v>45629</v>
      </c>
      <c r="B1184">
        <v>603.39001464843705</v>
      </c>
      <c r="C1184">
        <v>594.26299743652305</v>
      </c>
      <c r="D1184">
        <v>583.55179687500004</v>
      </c>
      <c r="E1184" t="str">
        <f t="shared" si="70"/>
        <v>Sell</v>
      </c>
      <c r="F1184">
        <f t="shared" si="72"/>
        <v>0</v>
      </c>
      <c r="G1184">
        <f t="shared" si="71"/>
        <v>0</v>
      </c>
      <c r="H1184" s="12" cm="1">
        <f t="array" ref="H1184">PRODUCT(1+G$2:G1184)-1</f>
        <v>0.42387954908303715</v>
      </c>
      <c r="I1184">
        <f>H1184-MAX(H$2:H1184)</f>
        <v>-6.8848378434793744E-3</v>
      </c>
      <c r="L1184" s="2">
        <f t="shared" si="73"/>
        <v>0.81149245333790165</v>
      </c>
    </row>
    <row r="1185" spans="1:12" x14ac:dyDescent="0.25">
      <c r="A1185" s="1">
        <v>45630</v>
      </c>
      <c r="B1185">
        <v>605.63000488281205</v>
      </c>
      <c r="C1185">
        <v>596.00749816894495</v>
      </c>
      <c r="D1185">
        <v>584.254797363281</v>
      </c>
      <c r="E1185" t="str">
        <f t="shared" si="70"/>
        <v>Sell</v>
      </c>
      <c r="F1185">
        <f t="shared" si="72"/>
        <v>0</v>
      </c>
      <c r="G1185">
        <f t="shared" si="71"/>
        <v>0</v>
      </c>
      <c r="H1185" s="12" cm="1">
        <f t="array" ref="H1185">PRODUCT(1+G$2:G1185)-1</f>
        <v>0.42387954908303715</v>
      </c>
      <c r="I1185">
        <f>H1185-MAX(H$2:H1185)</f>
        <v>-6.8848378434793744E-3</v>
      </c>
      <c r="L1185" s="2">
        <f t="shared" si="73"/>
        <v>0.8182173332772642</v>
      </c>
    </row>
    <row r="1186" spans="1:12" x14ac:dyDescent="0.25">
      <c r="A1186" s="1">
        <v>45631</v>
      </c>
      <c r="B1186">
        <v>607.65997314453102</v>
      </c>
      <c r="C1186">
        <v>596.93049621581997</v>
      </c>
      <c r="D1186">
        <v>584.98519653320295</v>
      </c>
      <c r="E1186" t="str">
        <f t="shared" si="70"/>
        <v>Sell</v>
      </c>
      <c r="F1186">
        <f t="shared" si="72"/>
        <v>0</v>
      </c>
      <c r="G1186">
        <f t="shared" si="71"/>
        <v>0</v>
      </c>
      <c r="H1186" s="12" cm="1">
        <f t="array" ref="H1186">PRODUCT(1+G$2:G1186)-1</f>
        <v>0.42387954908303715</v>
      </c>
      <c r="I1186">
        <f>H1186-MAX(H$2:H1186)</f>
        <v>-6.8848378434793744E-3</v>
      </c>
      <c r="L1186" s="2">
        <f t="shared" si="73"/>
        <v>0.82431168700759883</v>
      </c>
    </row>
    <row r="1187" spans="1:12" x14ac:dyDescent="0.25">
      <c r="A1187" s="1">
        <v>45632</v>
      </c>
      <c r="B1187">
        <v>607.44000244140602</v>
      </c>
      <c r="C1187">
        <v>597.64849548339805</v>
      </c>
      <c r="D1187">
        <v>585.64639648437401</v>
      </c>
      <c r="E1187" t="str">
        <f t="shared" si="70"/>
        <v>Sell</v>
      </c>
      <c r="F1187">
        <f t="shared" si="72"/>
        <v>0</v>
      </c>
      <c r="G1187">
        <f t="shared" si="71"/>
        <v>0</v>
      </c>
      <c r="H1187" s="12" cm="1">
        <f t="array" ref="H1187">PRODUCT(1+G$2:G1187)-1</f>
        <v>0.42387954908303715</v>
      </c>
      <c r="I1187">
        <f>H1187-MAX(H$2:H1187)</f>
        <v>-6.8848378434793744E-3</v>
      </c>
      <c r="L1187" s="2">
        <f t="shared" si="73"/>
        <v>0.82365129280319926</v>
      </c>
    </row>
    <row r="1188" spans="1:12" x14ac:dyDescent="0.25">
      <c r="A1188" s="1">
        <v>45635</v>
      </c>
      <c r="B1188">
        <v>607.69000244140602</v>
      </c>
      <c r="C1188">
        <v>598.22449645996005</v>
      </c>
      <c r="D1188">
        <v>586.33239624023395</v>
      </c>
      <c r="E1188" t="str">
        <f t="shared" si="70"/>
        <v>Sell</v>
      </c>
      <c r="F1188">
        <f t="shared" si="72"/>
        <v>0</v>
      </c>
      <c r="G1188">
        <f t="shared" si="71"/>
        <v>0</v>
      </c>
      <c r="H1188" s="12" cm="1">
        <f t="array" ref="H1188">PRODUCT(1+G$2:G1188)-1</f>
        <v>0.42387954908303715</v>
      </c>
      <c r="I1188">
        <f>H1188-MAX(H$2:H1188)</f>
        <v>-6.8848378434793744E-3</v>
      </c>
      <c r="L1188" s="2">
        <f t="shared" si="73"/>
        <v>0.82440184071141809</v>
      </c>
    </row>
    <row r="1189" spans="1:12" x14ac:dyDescent="0.25">
      <c r="A1189" s="1">
        <v>45636</v>
      </c>
      <c r="B1189">
        <v>605.36999511718705</v>
      </c>
      <c r="C1189">
        <v>598.50249633788997</v>
      </c>
      <c r="D1189">
        <v>587.031396484374</v>
      </c>
      <c r="E1189" t="str">
        <f t="shared" si="70"/>
        <v>Sell</v>
      </c>
      <c r="F1189">
        <f t="shared" si="72"/>
        <v>0</v>
      </c>
      <c r="G1189">
        <f t="shared" si="71"/>
        <v>0</v>
      </c>
      <c r="H1189" s="12" cm="1">
        <f t="array" ref="H1189">PRODUCT(1+G$2:G1189)-1</f>
        <v>0.42387954908303715</v>
      </c>
      <c r="I1189">
        <f>H1189-MAX(H$2:H1189)</f>
        <v>-6.8848378434793744E-3</v>
      </c>
      <c r="L1189" s="2">
        <f t="shared" si="73"/>
        <v>0.81743673413443896</v>
      </c>
    </row>
    <row r="1190" spans="1:12" x14ac:dyDescent="0.25">
      <c r="A1190" s="1">
        <v>45637</v>
      </c>
      <c r="B1190">
        <v>605.780029296875</v>
      </c>
      <c r="C1190">
        <v>598.85749816894497</v>
      </c>
      <c r="D1190">
        <v>587.678996582031</v>
      </c>
      <c r="E1190" t="str">
        <f t="shared" si="70"/>
        <v>Sell</v>
      </c>
      <c r="F1190">
        <f t="shared" si="72"/>
        <v>0</v>
      </c>
      <c r="G1190">
        <f t="shared" si="71"/>
        <v>0</v>
      </c>
      <c r="H1190" s="12" cm="1">
        <f t="array" ref="H1190">PRODUCT(1+G$2:G1190)-1</f>
        <v>0.42387954908303715</v>
      </c>
      <c r="I1190">
        <f>H1190-MAX(H$2:H1190)</f>
        <v>-6.8848378434793744E-3</v>
      </c>
      <c r="L1190" s="2">
        <f t="shared" si="73"/>
        <v>0.81866773531789094</v>
      </c>
    </row>
    <row r="1191" spans="1:12" x14ac:dyDescent="0.25">
      <c r="A1191" s="1">
        <v>45638</v>
      </c>
      <c r="B1191">
        <v>606.58001708984295</v>
      </c>
      <c r="C1191">
        <v>599.31799926757799</v>
      </c>
      <c r="D1191">
        <v>588.45639648437498</v>
      </c>
      <c r="E1191" t="str">
        <f t="shared" si="70"/>
        <v>Sell</v>
      </c>
      <c r="F1191">
        <f t="shared" si="72"/>
        <v>0</v>
      </c>
      <c r="G1191">
        <f t="shared" si="71"/>
        <v>0</v>
      </c>
      <c r="H1191" s="12" cm="1">
        <f t="array" ref="H1191">PRODUCT(1+G$2:G1191)-1</f>
        <v>0.42387954908303715</v>
      </c>
      <c r="I1191">
        <f>H1191-MAX(H$2:H1191)</f>
        <v>-6.8848378434793744E-3</v>
      </c>
      <c r="L1191" s="2">
        <f t="shared" si="73"/>
        <v>0.82106945197634151</v>
      </c>
    </row>
    <row r="1192" spans="1:12" x14ac:dyDescent="0.25">
      <c r="A1192" s="1">
        <v>45639</v>
      </c>
      <c r="B1192">
        <v>606.40002441406205</v>
      </c>
      <c r="C1192">
        <v>599.77200012207004</v>
      </c>
      <c r="D1192">
        <v>589.23719726562501</v>
      </c>
      <c r="E1192" t="str">
        <f t="shared" si="70"/>
        <v>Sell</v>
      </c>
      <c r="F1192">
        <f t="shared" si="72"/>
        <v>0</v>
      </c>
      <c r="G1192">
        <f t="shared" si="71"/>
        <v>0</v>
      </c>
      <c r="H1192" s="12" cm="1">
        <f t="array" ref="H1192">PRODUCT(1+G$2:G1192)-1</f>
        <v>0.42387954908303715</v>
      </c>
      <c r="I1192">
        <f>H1192-MAX(H$2:H1192)</f>
        <v>-6.8848378434793744E-3</v>
      </c>
      <c r="L1192" s="2">
        <f t="shared" si="73"/>
        <v>0.82052907947113329</v>
      </c>
    </row>
    <row r="1193" spans="1:12" x14ac:dyDescent="0.25">
      <c r="A1193" s="1">
        <v>45642</v>
      </c>
      <c r="B1193">
        <v>606</v>
      </c>
      <c r="C1193">
        <v>600.58600158691399</v>
      </c>
      <c r="D1193">
        <v>589.910197753906</v>
      </c>
      <c r="E1193" t="str">
        <f t="shared" si="70"/>
        <v>Sell</v>
      </c>
      <c r="F1193">
        <f t="shared" si="72"/>
        <v>0</v>
      </c>
      <c r="G1193">
        <f t="shared" si="71"/>
        <v>0</v>
      </c>
      <c r="H1193" s="12" cm="1">
        <f t="array" ref="H1193">PRODUCT(1+G$2:G1193)-1</f>
        <v>0.42387954908303715</v>
      </c>
      <c r="I1193">
        <f>H1193-MAX(H$2:H1193)</f>
        <v>-6.8848378434793744E-3</v>
      </c>
      <c r="L1193" s="2">
        <f t="shared" si="73"/>
        <v>0.8193281295222905</v>
      </c>
    </row>
    <row r="1194" spans="1:12" x14ac:dyDescent="0.25">
      <c r="A1194" s="1">
        <v>45643</v>
      </c>
      <c r="B1194">
        <v>604.19000244140602</v>
      </c>
      <c r="C1194">
        <v>601.48450317382799</v>
      </c>
      <c r="D1194">
        <v>590.56799804687398</v>
      </c>
      <c r="E1194" t="str">
        <f t="shared" si="70"/>
        <v>Sell</v>
      </c>
      <c r="F1194">
        <f t="shared" si="72"/>
        <v>0</v>
      </c>
      <c r="G1194">
        <f t="shared" si="71"/>
        <v>0</v>
      </c>
      <c r="H1194" s="12" cm="1">
        <f t="array" ref="H1194">PRODUCT(1+G$2:G1194)-1</f>
        <v>0.42387954908303715</v>
      </c>
      <c r="I1194">
        <f>H1194-MAX(H$2:H1194)</f>
        <v>-6.8848378434793744E-3</v>
      </c>
      <c r="L1194" s="2">
        <f t="shared" si="73"/>
        <v>0.81389416999635533</v>
      </c>
    </row>
    <row r="1195" spans="1:12" x14ac:dyDescent="0.25">
      <c r="A1195" s="1">
        <v>45644</v>
      </c>
      <c r="B1195">
        <v>603.97998046875</v>
      </c>
      <c r="C1195">
        <v>602.44800109863195</v>
      </c>
      <c r="D1195">
        <v>591.23919799804605</v>
      </c>
      <c r="E1195" t="str">
        <f t="shared" si="70"/>
        <v>Sell</v>
      </c>
      <c r="F1195">
        <f t="shared" si="72"/>
        <v>0</v>
      </c>
      <c r="G1195">
        <f t="shared" si="71"/>
        <v>0</v>
      </c>
      <c r="H1195" s="12" cm="1">
        <f t="array" ref="H1195">PRODUCT(1+G$2:G1195)-1</f>
        <v>0.42387954908303715</v>
      </c>
      <c r="I1195">
        <f>H1195-MAX(H$2:H1195)</f>
        <v>-6.8848378434793744E-3</v>
      </c>
      <c r="L1195" s="2">
        <f t="shared" si="73"/>
        <v>0.81326364378732752</v>
      </c>
    </row>
    <row r="1196" spans="1:12" x14ac:dyDescent="0.25">
      <c r="A1196" s="1">
        <v>45645</v>
      </c>
      <c r="B1196">
        <v>591.35998535156205</v>
      </c>
      <c r="C1196">
        <v>602.49700012206995</v>
      </c>
      <c r="D1196">
        <v>591.60319824218698</v>
      </c>
      <c r="E1196" t="str">
        <f t="shared" si="70"/>
        <v>Hold</v>
      </c>
      <c r="F1196">
        <f t="shared" si="72"/>
        <v>0</v>
      </c>
      <c r="G1196">
        <f t="shared" si="71"/>
        <v>0</v>
      </c>
      <c r="H1196" s="12" cm="1">
        <f t="array" ref="H1196">PRODUCT(1+G$2:G1196)-1</f>
        <v>0.42387954908303715</v>
      </c>
      <c r="I1196">
        <f>H1196-MAX(H$2:H1196)</f>
        <v>-6.8848378434793744E-3</v>
      </c>
      <c r="L1196" s="2">
        <f t="shared" si="73"/>
        <v>0.77537600003958163</v>
      </c>
    </row>
    <row r="1197" spans="1:12" x14ac:dyDescent="0.25">
      <c r="A1197" s="1">
        <v>45646</v>
      </c>
      <c r="B1197">
        <v>581.77001953125</v>
      </c>
      <c r="C1197">
        <v>601.91549987792905</v>
      </c>
      <c r="D1197">
        <v>591.72319824218698</v>
      </c>
      <c r="E1197" t="str">
        <f t="shared" si="70"/>
        <v>Hold</v>
      </c>
      <c r="F1197">
        <f t="shared" si="72"/>
        <v>0</v>
      </c>
      <c r="G1197">
        <f t="shared" si="71"/>
        <v>0</v>
      </c>
      <c r="H1197" s="12" cm="1">
        <f t="array" ref="H1197">PRODUCT(1+G$2:G1197)-1</f>
        <v>0.42387954908303715</v>
      </c>
      <c r="I1197">
        <f>H1197-MAX(H$2:H1197)</f>
        <v>-6.8848378434793744E-3</v>
      </c>
      <c r="L1197" s="2">
        <f t="shared" si="73"/>
        <v>0.74658508489428299</v>
      </c>
    </row>
    <row r="1198" spans="1:12" x14ac:dyDescent="0.25">
      <c r="A1198" s="1">
        <v>45649</v>
      </c>
      <c r="B1198">
        <v>590.89001464843705</v>
      </c>
      <c r="C1198">
        <v>601.777001953124</v>
      </c>
      <c r="D1198">
        <v>592.01999877929597</v>
      </c>
      <c r="E1198" t="str">
        <f t="shared" si="70"/>
        <v>Hold</v>
      </c>
      <c r="F1198">
        <f t="shared" si="72"/>
        <v>0</v>
      </c>
      <c r="G1198">
        <f t="shared" si="71"/>
        <v>0</v>
      </c>
      <c r="H1198" s="12" cm="1">
        <f t="array" ref="H1198">PRODUCT(1+G$2:G1198)-1</f>
        <v>0.42387954908303715</v>
      </c>
      <c r="I1198">
        <f>H1198-MAX(H$2:H1198)</f>
        <v>-6.8848378434793744E-3</v>
      </c>
      <c r="L1198" s="2">
        <f t="shared" si="73"/>
        <v>0.77396505792696335</v>
      </c>
    </row>
    <row r="1199" spans="1:12" x14ac:dyDescent="0.25">
      <c r="A1199" s="1">
        <v>45650</v>
      </c>
      <c r="B1199">
        <v>596.05999755859295</v>
      </c>
      <c r="C1199">
        <v>601.60400085449203</v>
      </c>
      <c r="D1199">
        <v>592.31679931640599</v>
      </c>
      <c r="E1199" t="str">
        <f t="shared" si="70"/>
        <v>Sell</v>
      </c>
      <c r="F1199">
        <f t="shared" si="72"/>
        <v>0</v>
      </c>
      <c r="G1199">
        <f t="shared" si="71"/>
        <v>0</v>
      </c>
      <c r="H1199" s="12" cm="1">
        <f t="array" ref="H1199">PRODUCT(1+G$2:G1199)-1</f>
        <v>0.42387954908303715</v>
      </c>
      <c r="I1199">
        <f>H1199-MAX(H$2:H1199)</f>
        <v>-6.8848378434793744E-3</v>
      </c>
      <c r="L1199" s="2">
        <f t="shared" si="73"/>
        <v>0.78948633736194052</v>
      </c>
    </row>
    <row r="1200" spans="1:12" x14ac:dyDescent="0.25">
      <c r="A1200" s="1">
        <v>45652</v>
      </c>
      <c r="B1200">
        <v>599.5</v>
      </c>
      <c r="C1200">
        <v>601.63900146484298</v>
      </c>
      <c r="D1200">
        <v>592.614998779296</v>
      </c>
      <c r="E1200" t="str">
        <f t="shared" si="70"/>
        <v>Hold</v>
      </c>
      <c r="F1200">
        <f t="shared" si="72"/>
        <v>0</v>
      </c>
      <c r="G1200">
        <f t="shared" si="71"/>
        <v>0</v>
      </c>
      <c r="H1200" s="12" cm="1">
        <f t="array" ref="H1200">PRODUCT(1+G$2:G1200)-1</f>
        <v>0.42387954908303715</v>
      </c>
      <c r="I1200">
        <f>H1200-MAX(H$2:H1200)</f>
        <v>-6.8848378434793744E-3</v>
      </c>
      <c r="L1200" s="2">
        <f t="shared" si="73"/>
        <v>0.79981388390860253</v>
      </c>
    </row>
    <row r="1201" spans="1:12" x14ac:dyDescent="0.25">
      <c r="A1201" s="1">
        <v>45653</v>
      </c>
      <c r="B1201">
        <v>597.53997802734295</v>
      </c>
      <c r="C1201">
        <v>601.49299926757806</v>
      </c>
      <c r="D1201">
        <v>592.97019775390595</v>
      </c>
      <c r="E1201" t="str">
        <f t="shared" si="70"/>
        <v>Hold</v>
      </c>
      <c r="F1201">
        <f t="shared" si="72"/>
        <v>0</v>
      </c>
      <c r="G1201">
        <f t="shared" si="71"/>
        <v>0</v>
      </c>
      <c r="H1201" s="12" cm="1">
        <f t="array" ref="H1201">PRODUCT(1+G$2:G1201)-1</f>
        <v>0.42387954908303715</v>
      </c>
      <c r="I1201">
        <f>H1201-MAX(H$2:H1201)</f>
        <v>-6.8848378434793744E-3</v>
      </c>
      <c r="L1201" s="2">
        <f t="shared" si="73"/>
        <v>0.79392952234204028</v>
      </c>
    </row>
    <row r="1202" spans="1:12" x14ac:dyDescent="0.25">
      <c r="A1202" s="1">
        <v>45656</v>
      </c>
      <c r="B1202">
        <v>587.89001464843705</v>
      </c>
      <c r="C1202">
        <v>600.90450134277296</v>
      </c>
      <c r="D1202">
        <v>593.00979858398398</v>
      </c>
      <c r="E1202" t="str">
        <f t="shared" si="70"/>
        <v>Hold</v>
      </c>
      <c r="F1202">
        <f t="shared" si="72"/>
        <v>0</v>
      </c>
      <c r="G1202">
        <f t="shared" si="71"/>
        <v>0</v>
      </c>
      <c r="H1202" s="12" cm="1">
        <f t="array" ref="H1202">PRODUCT(1+G$2:G1202)-1</f>
        <v>0.42387954908303715</v>
      </c>
      <c r="I1202">
        <f>H1202-MAX(H$2:H1202)</f>
        <v>-6.8848378434793744E-3</v>
      </c>
      <c r="L1202" s="2">
        <f t="shared" si="73"/>
        <v>0.76495848302833813</v>
      </c>
    </row>
    <row r="1203" spans="1:12" x14ac:dyDescent="0.25">
      <c r="A1203" s="1">
        <v>45657</v>
      </c>
      <c r="B1203">
        <v>589.90997314453102</v>
      </c>
      <c r="C1203">
        <v>600.25150146484305</v>
      </c>
      <c r="D1203">
        <v>593.12659790039004</v>
      </c>
      <c r="E1203" t="str">
        <f t="shared" si="70"/>
        <v>Hold</v>
      </c>
      <c r="F1203">
        <f t="shared" si="72"/>
        <v>0</v>
      </c>
      <c r="G1203">
        <f t="shared" si="71"/>
        <v>0</v>
      </c>
      <c r="H1203" s="12" cm="1">
        <f t="array" ref="H1203">PRODUCT(1+G$2:G1203)-1</f>
        <v>0.42387954908303715</v>
      </c>
      <c r="I1203">
        <f>H1203-MAX(H$2:H1203)</f>
        <v>-6.8848378434793744E-3</v>
      </c>
      <c r="L1203" s="2">
        <f t="shared" si="73"/>
        <v>0.77102278552406645</v>
      </c>
    </row>
    <row r="1204" spans="1:12" x14ac:dyDescent="0.25">
      <c r="A1204" s="1">
        <v>45659</v>
      </c>
      <c r="B1204">
        <v>589.39001464843705</v>
      </c>
      <c r="C1204">
        <v>599.551501464843</v>
      </c>
      <c r="D1204">
        <v>593.23739868164</v>
      </c>
      <c r="E1204" t="str">
        <f t="shared" si="70"/>
        <v>Hold</v>
      </c>
      <c r="F1204">
        <f t="shared" si="72"/>
        <v>0</v>
      </c>
      <c r="G1204">
        <f t="shared" si="71"/>
        <v>0</v>
      </c>
      <c r="H1204" s="12" cm="1">
        <f t="array" ref="H1204">PRODUCT(1+G$2:G1204)-1</f>
        <v>0.42387954908303715</v>
      </c>
      <c r="I1204">
        <f>H1204-MAX(H$2:H1204)</f>
        <v>-6.8848378434793744E-3</v>
      </c>
      <c r="L1204" s="2">
        <f t="shared" si="73"/>
        <v>0.76946177047765074</v>
      </c>
    </row>
    <row r="1205" spans="1:12" x14ac:dyDescent="0.25">
      <c r="A1205" s="1">
        <v>45660</v>
      </c>
      <c r="B1205">
        <v>587.530029296875</v>
      </c>
      <c r="C1205">
        <v>598.64650268554601</v>
      </c>
      <c r="D1205">
        <v>593.36699951171795</v>
      </c>
      <c r="E1205" t="str">
        <f t="shared" si="70"/>
        <v>Hold</v>
      </c>
      <c r="F1205">
        <f t="shared" si="72"/>
        <v>0</v>
      </c>
      <c r="G1205">
        <f t="shared" si="71"/>
        <v>0</v>
      </c>
      <c r="H1205" s="12" cm="1">
        <f t="array" ref="H1205">PRODUCT(1+G$2:G1205)-1</f>
        <v>0.42387954908303715</v>
      </c>
      <c r="I1205">
        <f>H1205-MAX(H$2:H1205)</f>
        <v>-6.8848378434793744E-3</v>
      </c>
      <c r="L1205" s="2">
        <f t="shared" si="73"/>
        <v>0.76387773801792103</v>
      </c>
    </row>
    <row r="1206" spans="1:12" x14ac:dyDescent="0.25">
      <c r="A1206" s="1">
        <v>45663</v>
      </c>
      <c r="B1206">
        <v>596.27001953125</v>
      </c>
      <c r="C1206">
        <v>598.07700500488204</v>
      </c>
      <c r="D1206">
        <v>593.66719970703105</v>
      </c>
      <c r="E1206" t="str">
        <f t="shared" si="70"/>
        <v>Hold</v>
      </c>
      <c r="F1206">
        <f t="shared" si="72"/>
        <v>0</v>
      </c>
      <c r="G1206">
        <f t="shared" si="71"/>
        <v>0</v>
      </c>
      <c r="H1206" s="12" cm="1">
        <f t="array" ref="H1206">PRODUCT(1+G$2:G1206)-1</f>
        <v>0.42387954908303715</v>
      </c>
      <c r="I1206">
        <f>H1206-MAX(H$2:H1206)</f>
        <v>-6.8848378434793744E-3</v>
      </c>
      <c r="L1206" s="2">
        <f t="shared" si="73"/>
        <v>0.79011686357097144</v>
      </c>
    </row>
    <row r="1207" spans="1:12" x14ac:dyDescent="0.25">
      <c r="A1207" s="1">
        <v>45664</v>
      </c>
      <c r="B1207">
        <v>597.41998291015602</v>
      </c>
      <c r="C1207">
        <v>597.57600402831997</v>
      </c>
      <c r="D1207">
        <v>594.01599975585896</v>
      </c>
      <c r="E1207" t="str">
        <f t="shared" si="70"/>
        <v>Hold</v>
      </c>
      <c r="F1207">
        <f t="shared" si="72"/>
        <v>0</v>
      </c>
      <c r="G1207">
        <f t="shared" si="71"/>
        <v>0</v>
      </c>
      <c r="H1207" s="12" cm="1">
        <f t="array" ref="H1207">PRODUCT(1+G$2:G1207)-1</f>
        <v>0.42387954908303715</v>
      </c>
      <c r="I1207">
        <f>H1207-MAX(H$2:H1207)</f>
        <v>-6.8848378434793744E-3</v>
      </c>
      <c r="L1207" s="2">
        <f t="shared" si="73"/>
        <v>0.7935692740052358</v>
      </c>
    </row>
    <row r="1208" spans="1:12" x14ac:dyDescent="0.25">
      <c r="A1208" s="1">
        <v>45665</v>
      </c>
      <c r="B1208">
        <v>588.70001220703102</v>
      </c>
      <c r="C1208">
        <v>596.62650451660102</v>
      </c>
      <c r="D1208">
        <v>594.15979980468705</v>
      </c>
      <c r="E1208" t="str">
        <f t="shared" si="70"/>
        <v>Hold</v>
      </c>
      <c r="F1208">
        <f t="shared" si="72"/>
        <v>0</v>
      </c>
      <c r="G1208">
        <f t="shared" si="71"/>
        <v>0</v>
      </c>
      <c r="H1208" s="12" cm="1">
        <f t="array" ref="H1208">PRODUCT(1+G$2:G1208)-1</f>
        <v>0.42387954908303715</v>
      </c>
      <c r="I1208">
        <f>H1208-MAX(H$2:H1208)</f>
        <v>-6.8848378434793744E-3</v>
      </c>
      <c r="L1208" s="2">
        <f t="shared" si="73"/>
        <v>0.76739025092139823</v>
      </c>
    </row>
    <row r="1209" spans="1:12" x14ac:dyDescent="0.25">
      <c r="A1209" s="1">
        <v>45667</v>
      </c>
      <c r="B1209">
        <v>585.88000488281205</v>
      </c>
      <c r="C1209">
        <v>595.65200500488197</v>
      </c>
      <c r="D1209">
        <v>594.22579956054597</v>
      </c>
      <c r="E1209" t="str">
        <f t="shared" si="70"/>
        <v>Hold</v>
      </c>
      <c r="F1209">
        <f t="shared" si="72"/>
        <v>0</v>
      </c>
      <c r="G1209">
        <f t="shared" si="71"/>
        <v>0</v>
      </c>
      <c r="H1209" s="12" cm="1">
        <f t="array" ref="H1209">PRODUCT(1+G$2:G1209)-1</f>
        <v>0.42387954908303715</v>
      </c>
      <c r="I1209">
        <f>H1209-MAX(H$2:H1209)</f>
        <v>-6.8848378434793744E-3</v>
      </c>
      <c r="L1209" s="2">
        <f t="shared" si="73"/>
        <v>0.75892404852798157</v>
      </c>
    </row>
    <row r="1210" spans="1:12" x14ac:dyDescent="0.25">
      <c r="A1210" s="1">
        <v>45670</v>
      </c>
      <c r="B1210">
        <v>575.77001953125</v>
      </c>
      <c r="C1210">
        <v>594.15150451660099</v>
      </c>
      <c r="D1210">
        <v>594.14420043945302</v>
      </c>
      <c r="E1210" t="str">
        <f t="shared" si="70"/>
        <v>Buy</v>
      </c>
      <c r="F1210">
        <f t="shared" si="72"/>
        <v>1</v>
      </c>
      <c r="G1210">
        <f t="shared" si="71"/>
        <v>1.4919091875095146E-2</v>
      </c>
      <c r="H1210" s="12" cm="1">
        <f t="array" ref="H1210">PRODUCT(1+G$2:G1210)-1</f>
        <v>0.44512253889487607</v>
      </c>
      <c r="I1210">
        <f>H1210-MAX(H$2:H1210)</f>
        <v>0</v>
      </c>
      <c r="L1210" s="2">
        <f t="shared" si="73"/>
        <v>0.72857193509703255</v>
      </c>
    </row>
    <row r="1211" spans="1:12" x14ac:dyDescent="0.25">
      <c r="A1211" s="1">
        <v>45671</v>
      </c>
      <c r="B1211">
        <v>584.35998535156205</v>
      </c>
      <c r="C1211">
        <v>593.04050292968702</v>
      </c>
      <c r="D1211">
        <v>594.20560058593696</v>
      </c>
      <c r="E1211" t="str">
        <f t="shared" si="70"/>
        <v>Buy</v>
      </c>
      <c r="F1211">
        <f t="shared" si="72"/>
        <v>1</v>
      </c>
      <c r="G1211">
        <f t="shared" si="71"/>
        <v>1.0216359586444347E-2</v>
      </c>
      <c r="H1211" s="12" cm="1">
        <f t="array" ref="H1211">PRODUCT(1+G$2:G1211)-1</f>
        <v>0.45988643039870158</v>
      </c>
      <c r="I1211">
        <f>H1211-MAX(H$2:H1211)</f>
        <v>0</v>
      </c>
      <c r="L1211" s="2">
        <f t="shared" si="73"/>
        <v>0.75436065860945622</v>
      </c>
    </row>
    <row r="1212" spans="1:12" x14ac:dyDescent="0.25">
      <c r="A1212" s="1">
        <v>45672</v>
      </c>
      <c r="B1212">
        <v>590.33001708984295</v>
      </c>
      <c r="C1212">
        <v>592.23700256347604</v>
      </c>
      <c r="D1212">
        <v>594.50100097656195</v>
      </c>
      <c r="E1212" t="str">
        <f t="shared" si="70"/>
        <v>Buy</v>
      </c>
      <c r="F1212">
        <f t="shared" si="72"/>
        <v>1</v>
      </c>
      <c r="G1212">
        <f t="shared" si="71"/>
        <v>6.5047781904145662E-3</v>
      </c>
      <c r="H1212" s="12" cm="1">
        <f t="array" ref="H1212">PRODUCT(1+G$2:G1212)-1</f>
        <v>0.46938266781164129</v>
      </c>
      <c r="I1212">
        <f>H1212-MAX(H$2:H1212)</f>
        <v>0</v>
      </c>
      <c r="L1212" s="2">
        <f t="shared" si="73"/>
        <v>0.77228383794212174</v>
      </c>
    </row>
    <row r="1213" spans="1:12" x14ac:dyDescent="0.25">
      <c r="A1213" s="1">
        <v>45673</v>
      </c>
      <c r="B1213">
        <v>594.16998291015602</v>
      </c>
      <c r="C1213">
        <v>591.64550170898406</v>
      </c>
      <c r="D1213">
        <v>594.95800048828096</v>
      </c>
      <c r="E1213" t="str">
        <f t="shared" si="70"/>
        <v>Buy</v>
      </c>
      <c r="F1213">
        <f t="shared" si="72"/>
        <v>1</v>
      </c>
      <c r="G1213">
        <f t="shared" si="71"/>
        <v>4.695691709020379E-3</v>
      </c>
      <c r="H1213" s="12" cm="1">
        <f t="array" ref="H1213">PRODUCT(1+G$2:G1213)-1</f>
        <v>0.4762824358222626</v>
      </c>
      <c r="I1213">
        <f>H1213-MAX(H$2:H1213)</f>
        <v>0</v>
      </c>
      <c r="L1213" s="2">
        <f t="shared" si="73"/>
        <v>0.78381215119839187</v>
      </c>
    </row>
    <row r="1214" spans="1:12" x14ac:dyDescent="0.25">
      <c r="A1214" s="1">
        <v>45674</v>
      </c>
      <c r="B1214">
        <v>596.96002197265602</v>
      </c>
      <c r="C1214">
        <v>591.28400268554606</v>
      </c>
      <c r="D1214">
        <v>595.47360107421798</v>
      </c>
      <c r="E1214" t="str">
        <f t="shared" si="70"/>
        <v>Buy</v>
      </c>
      <c r="F1214">
        <f t="shared" si="72"/>
        <v>1</v>
      </c>
      <c r="G1214">
        <f t="shared" si="71"/>
        <v>6.2147560991445017E-3</v>
      </c>
      <c r="H1214" s="12" cm="1">
        <f t="array" ref="H1214">PRODUCT(1+G$2:G1214)-1</f>
        <v>0.48545717109434894</v>
      </c>
      <c r="I1214">
        <f>H1214-MAX(H$2:H1214)</f>
        <v>0</v>
      </c>
      <c r="L1214" s="2">
        <f t="shared" si="73"/>
        <v>0.79218838312722395</v>
      </c>
    </row>
    <row r="1215" spans="1:12" x14ac:dyDescent="0.25">
      <c r="A1215" s="1">
        <v>45678</v>
      </c>
      <c r="B1215">
        <v>600.66998291015602</v>
      </c>
      <c r="C1215">
        <v>591.11850280761701</v>
      </c>
      <c r="D1215">
        <v>596.072200927734</v>
      </c>
      <c r="E1215" t="str">
        <f t="shared" si="70"/>
        <v>Hold</v>
      </c>
      <c r="F1215">
        <f t="shared" si="72"/>
        <v>1</v>
      </c>
      <c r="G1215">
        <f t="shared" si="71"/>
        <v>8.7402403139316825E-3</v>
      </c>
      <c r="H1215" s="12" cm="1">
        <f t="array" ref="H1215">PRODUCT(1+G$2:G1215)-1</f>
        <v>0.49844042374576647</v>
      </c>
      <c r="I1215">
        <f>H1215-MAX(H$2:H1215)</f>
        <v>0</v>
      </c>
      <c r="L1215" s="2">
        <f t="shared" si="73"/>
        <v>0.80332639681207973</v>
      </c>
    </row>
    <row r="1216" spans="1:12" x14ac:dyDescent="0.25">
      <c r="A1216" s="1">
        <v>45679</v>
      </c>
      <c r="B1216">
        <v>605.91998291015602</v>
      </c>
      <c r="C1216">
        <v>591.84650268554606</v>
      </c>
      <c r="D1216">
        <v>596.40660034179598</v>
      </c>
      <c r="E1216" t="str">
        <f t="shared" si="70"/>
        <v>Hold</v>
      </c>
      <c r="F1216">
        <f t="shared" si="72"/>
        <v>1</v>
      </c>
      <c r="G1216">
        <f t="shared" si="71"/>
        <v>-1.9803789373598022E-4</v>
      </c>
      <c r="H1216" s="12" cm="1">
        <f t="array" ref="H1216">PRODUCT(1+G$2:G1216)-1</f>
        <v>0.49814367576035901</v>
      </c>
      <c r="I1216">
        <f>H1216-MAX(H$2:H1216)</f>
        <v>-2.9674798540746394E-4</v>
      </c>
      <c r="L1216" s="2">
        <f t="shared" si="73"/>
        <v>0.81908790288467392</v>
      </c>
    </row>
    <row r="1217" spans="1:12" x14ac:dyDescent="0.25">
      <c r="A1217" s="1">
        <v>45680</v>
      </c>
      <c r="B1217">
        <v>605.79998779296795</v>
      </c>
      <c r="C1217">
        <v>593.04800109863197</v>
      </c>
      <c r="D1217">
        <v>596.66099975585905</v>
      </c>
      <c r="E1217" t="str">
        <f t="shared" si="70"/>
        <v>Hold</v>
      </c>
      <c r="F1217">
        <f t="shared" si="72"/>
        <v>1</v>
      </c>
      <c r="G1217">
        <f t="shared" si="71"/>
        <v>6.6193625725120024E-3</v>
      </c>
      <c r="H1217" s="12" cm="1">
        <f t="array" ref="H1217">PRODUCT(1+G$2:G1217)-1</f>
        <v>0.50806043193593253</v>
      </c>
      <c r="I1217">
        <f>H1217-MAX(H$2:H1217)</f>
        <v>0</v>
      </c>
      <c r="L1217" s="2">
        <f t="shared" si="73"/>
        <v>0.818727654547866</v>
      </c>
    </row>
    <row r="1218" spans="1:12" x14ac:dyDescent="0.25">
      <c r="A1218" s="1">
        <v>45681</v>
      </c>
      <c r="B1218">
        <v>609.80999755859295</v>
      </c>
      <c r="C1218">
        <v>593.99400024414001</v>
      </c>
      <c r="D1218">
        <v>596.93380004882795</v>
      </c>
      <c r="E1218" t="str">
        <f t="shared" si="70"/>
        <v>Buy</v>
      </c>
      <c r="F1218">
        <f t="shared" si="72"/>
        <v>1</v>
      </c>
      <c r="G1218">
        <f t="shared" si="71"/>
        <v>-2.4597825650699897E-2</v>
      </c>
      <c r="H1218" s="12" cm="1">
        <f t="array" ref="H1218">PRODUCT(1+G$2:G1218)-1</f>
        <v>0.4709654243604533</v>
      </c>
      <c r="I1218">
        <f>H1218-MAX(H$2:H1218)</f>
        <v>-3.7095007575479233E-2</v>
      </c>
      <c r="L1218" s="2">
        <f t="shared" si="73"/>
        <v>0.83076647231397271</v>
      </c>
    </row>
    <row r="1219" spans="1:12" x14ac:dyDescent="0.25">
      <c r="A1219" s="1">
        <v>45684</v>
      </c>
      <c r="B1219">
        <v>594.80999755859295</v>
      </c>
      <c r="C1219">
        <v>593.93150024414001</v>
      </c>
      <c r="D1219">
        <v>596.83380004882804</v>
      </c>
      <c r="E1219" t="str">
        <f t="shared" ref="E1219:E1257" si="74">IF(OR(ISBLANK(C1219),ISBLANK(D1219),ISBLANK(C1220),ISBLANK(D1220)), "Hold", IF(AND(C1219&gt;C1220,C1220&lt;=D1220), "Buy", IF(AND(C1219&lt;C1220,C1220&gt;=D1220), "Sell", "Hold")))</f>
        <v>Hold</v>
      </c>
      <c r="F1219">
        <f t="shared" si="72"/>
        <v>1</v>
      </c>
      <c r="G1219">
        <f t="shared" ref="G1219:G1256" si="75">IF(F1219=1,(B1220-B1219)/B1219,0)</f>
        <v>9.7678209553324884E-3</v>
      </c>
      <c r="H1219" s="12" cm="1">
        <f t="array" ref="H1219">PRODUCT(1+G$2:G1219)-1</f>
        <v>0.48533355125709088</v>
      </c>
      <c r="I1219">
        <f>H1219-MAX(H$2:H1219)</f>
        <v>-2.2726880678841654E-2</v>
      </c>
      <c r="L1219" s="2">
        <f t="shared" si="73"/>
        <v>0.78573359782084673</v>
      </c>
    </row>
    <row r="1220" spans="1:12" x14ac:dyDescent="0.25">
      <c r="A1220" s="1">
        <v>45685</v>
      </c>
      <c r="B1220">
        <v>600.61999511718705</v>
      </c>
      <c r="C1220">
        <v>593.98749999999905</v>
      </c>
      <c r="D1220">
        <v>596.872600097656</v>
      </c>
      <c r="E1220" t="str">
        <f t="shared" si="74"/>
        <v>Hold</v>
      </c>
      <c r="F1220">
        <f t="shared" ref="F1220:F1257" si="76">IF(E1220="Buy",1, IF(E1220="Sell",0,F1219))</f>
        <v>1</v>
      </c>
      <c r="G1220">
        <f t="shared" si="75"/>
        <v>5.1612926827937491E-3</v>
      </c>
      <c r="H1220" s="12" cm="1">
        <f t="array" ref="H1220">PRODUCT(1+G$2:G1220)-1</f>
        <v>0.49299979244670222</v>
      </c>
      <c r="I1220">
        <f>H1220-MAX(H$2:H1220)</f>
        <v>-1.506063948923031E-2</v>
      </c>
      <c r="L1220" s="2">
        <f t="shared" si="73"/>
        <v>0.80317632387828242</v>
      </c>
    </row>
    <row r="1221" spans="1:12" x14ac:dyDescent="0.25">
      <c r="A1221" s="1">
        <v>45686</v>
      </c>
      <c r="B1221">
        <v>603.719970703125</v>
      </c>
      <c r="C1221">
        <v>594.29649963378904</v>
      </c>
      <c r="D1221">
        <v>596.99959960937394</v>
      </c>
      <c r="E1221" t="str">
        <f t="shared" si="74"/>
        <v>Hold</v>
      </c>
      <c r="F1221">
        <f t="shared" si="76"/>
        <v>1</v>
      </c>
      <c r="G1221">
        <f t="shared" si="75"/>
        <v>3.9762022324927552E-4</v>
      </c>
      <c r="H1221" s="12" cm="1">
        <f t="array" ref="H1221">PRODUCT(1+G$2:G1221)-1</f>
        <v>0.4935934393574859</v>
      </c>
      <c r="I1221">
        <f>H1221-MAX(H$2:H1221)</f>
        <v>-1.4466992578446636E-2</v>
      </c>
      <c r="L1221" s="2">
        <f t="shared" si="73"/>
        <v>0.81248304464450238</v>
      </c>
    </row>
    <row r="1222" spans="1:12" x14ac:dyDescent="0.25">
      <c r="A1222" s="1">
        <v>45687</v>
      </c>
      <c r="B1222">
        <v>603.96002197265602</v>
      </c>
      <c r="C1222">
        <v>595.099999999999</v>
      </c>
      <c r="D1222">
        <v>597.13239990234297</v>
      </c>
      <c r="E1222" t="str">
        <f t="shared" si="74"/>
        <v>Hold</v>
      </c>
      <c r="F1222">
        <f t="shared" si="76"/>
        <v>1</v>
      </c>
      <c r="G1222">
        <f t="shared" si="75"/>
        <v>5.8612787246773235E-3</v>
      </c>
      <c r="H1222" s="12" cm="1">
        <f t="array" ref="H1222">PRODUCT(1+G$2:G1222)-1</f>
        <v>0.50234780680690938</v>
      </c>
      <c r="I1222">
        <f>H1222-MAX(H$2:H1222)</f>
        <v>-5.7126251290231522E-3</v>
      </c>
      <c r="L1222" s="2">
        <f t="shared" si="73"/>
        <v>0.81320372455734946</v>
      </c>
    </row>
    <row r="1223" spans="1:12" x14ac:dyDescent="0.25">
      <c r="A1223" s="1">
        <v>45688</v>
      </c>
      <c r="B1223">
        <v>607.5</v>
      </c>
      <c r="C1223">
        <v>595.97950134277301</v>
      </c>
      <c r="D1223">
        <v>597.48800048828105</v>
      </c>
      <c r="E1223" t="str">
        <f t="shared" si="74"/>
        <v>Hold</v>
      </c>
      <c r="F1223">
        <f t="shared" si="76"/>
        <v>1</v>
      </c>
      <c r="G1223">
        <f t="shared" si="75"/>
        <v>-2.4411550765175271E-2</v>
      </c>
      <c r="H1223" s="12" cm="1">
        <f t="array" ref="H1223">PRODUCT(1+G$2:G1223)-1</f>
        <v>0.46567316705409278</v>
      </c>
      <c r="I1223">
        <f>H1223-MAX(H$2:H1223)</f>
        <v>-4.2387264881839748E-2</v>
      </c>
      <c r="L1223" s="2">
        <f t="shared" ref="L1223:L1257" si="77">(B1223-B$134)/B$134</f>
        <v>0.82383141697160311</v>
      </c>
    </row>
    <row r="1224" spans="1:12" x14ac:dyDescent="0.25">
      <c r="A1224" s="1">
        <v>45691</v>
      </c>
      <c r="B1224">
        <v>592.66998291015602</v>
      </c>
      <c r="C1224">
        <v>596.14349975585901</v>
      </c>
      <c r="D1224">
        <v>597.61700073242105</v>
      </c>
      <c r="E1224" t="str">
        <f t="shared" si="74"/>
        <v>Hold</v>
      </c>
      <c r="F1224">
        <f t="shared" si="76"/>
        <v>1</v>
      </c>
      <c r="G1224">
        <f t="shared" si="75"/>
        <v>8.706420653109323E-3</v>
      </c>
      <c r="H1224" s="12" cm="1">
        <f t="array" ref="H1224">PRODUCT(1+G$2:G1224)-1</f>
        <v>0.47843393418644076</v>
      </c>
      <c r="I1224">
        <f>H1224-MAX(H$2:H1224)</f>
        <v>-2.9626497749491776E-2</v>
      </c>
      <c r="L1224" s="2">
        <f t="shared" si="77"/>
        <v>0.77930886374907926</v>
      </c>
    </row>
    <row r="1225" spans="1:12" x14ac:dyDescent="0.25">
      <c r="A1225" s="1">
        <v>45692</v>
      </c>
      <c r="B1225">
        <v>597.83001708984295</v>
      </c>
      <c r="C1225">
        <v>596.65849914550699</v>
      </c>
      <c r="D1225">
        <v>597.87940063476503</v>
      </c>
      <c r="E1225" t="str">
        <f t="shared" si="74"/>
        <v>Hold</v>
      </c>
      <c r="F1225">
        <f t="shared" si="76"/>
        <v>1</v>
      </c>
      <c r="G1225">
        <f t="shared" si="75"/>
        <v>4.7003286524032123E-3</v>
      </c>
      <c r="H1225" s="12" cm="1">
        <f t="array" ref="H1225">PRODUCT(1+G$2:G1225)-1</f>
        <v>0.48538305956798244</v>
      </c>
      <c r="I1225">
        <f>H1225-MAX(H$2:H1225)</f>
        <v>-2.2677372367950088E-2</v>
      </c>
      <c r="L1225" s="2">
        <f t="shared" si="77"/>
        <v>0.79480027518868468</v>
      </c>
    </row>
    <row r="1226" spans="1:12" x14ac:dyDescent="0.25">
      <c r="A1226" s="1">
        <v>45693</v>
      </c>
      <c r="B1226">
        <v>600.64001464843705</v>
      </c>
      <c r="C1226">
        <v>596.87699890136696</v>
      </c>
      <c r="D1226">
        <v>598.08460083007799</v>
      </c>
      <c r="E1226" t="str">
        <f t="shared" si="74"/>
        <v>Hold</v>
      </c>
      <c r="F1226">
        <f t="shared" si="76"/>
        <v>1</v>
      </c>
      <c r="G1226">
        <f t="shared" si="75"/>
        <v>8.9071248259564757E-3</v>
      </c>
      <c r="H1226" s="12" cm="1">
        <f t="array" ref="H1226">PRODUCT(1+G$2:G1226)-1</f>
        <v>0.49861355189391565</v>
      </c>
      <c r="I1226">
        <f>H1226-MAX(H$2:H1226)</f>
        <v>-9.4468800420168808E-3</v>
      </c>
      <c r="L1226" s="2">
        <f t="shared" si="77"/>
        <v>0.80323642634749526</v>
      </c>
    </row>
    <row r="1227" spans="1:12" x14ac:dyDescent="0.25">
      <c r="A1227" s="1">
        <v>45694</v>
      </c>
      <c r="B1227">
        <v>605.989990234375</v>
      </c>
      <c r="C1227">
        <v>597.30549926757806</v>
      </c>
      <c r="D1227">
        <v>598.33640014648404</v>
      </c>
      <c r="E1227" t="str">
        <f t="shared" si="74"/>
        <v>Hold</v>
      </c>
      <c r="F1227">
        <f t="shared" si="76"/>
        <v>1</v>
      </c>
      <c r="G1227">
        <f t="shared" si="75"/>
        <v>1.4852133344875026E-3</v>
      </c>
      <c r="H1227" s="12" cm="1">
        <f t="array" ref="H1227">PRODUCT(1+G$2:G1227)-1</f>
        <v>0.50083931272443238</v>
      </c>
      <c r="I1227">
        <f>H1227-MAX(H$2:H1227)</f>
        <v>-7.2211192115001488E-3</v>
      </c>
      <c r="L1227" s="2">
        <f t="shared" si="77"/>
        <v>0.81929807828768408</v>
      </c>
    </row>
    <row r="1228" spans="1:12" x14ac:dyDescent="0.25">
      <c r="A1228" s="1">
        <v>45695</v>
      </c>
      <c r="B1228">
        <v>606.89001464843705</v>
      </c>
      <c r="C1228">
        <v>598.21499938964803</v>
      </c>
      <c r="D1228">
        <v>598.60100097656198</v>
      </c>
      <c r="E1228" t="str">
        <f t="shared" si="74"/>
        <v>Sell</v>
      </c>
      <c r="F1228">
        <f t="shared" si="76"/>
        <v>0</v>
      </c>
      <c r="G1228">
        <f t="shared" si="75"/>
        <v>0</v>
      </c>
      <c r="H1228" s="12" cm="1">
        <f t="array" ref="H1228">PRODUCT(1+G$2:G1228)-1</f>
        <v>0.50083931272443238</v>
      </c>
      <c r="I1228">
        <f>H1228-MAX(H$2:H1228)</f>
        <v>-7.2211192115001488E-3</v>
      </c>
      <c r="L1228" s="2">
        <f t="shared" si="77"/>
        <v>0.82200012405296441</v>
      </c>
    </row>
    <row r="1229" spans="1:12" x14ac:dyDescent="0.25">
      <c r="A1229" s="1">
        <v>45698</v>
      </c>
      <c r="B1229">
        <v>604.030029296875</v>
      </c>
      <c r="C1229">
        <v>599.12250061035104</v>
      </c>
      <c r="D1229">
        <v>598.69120117187401</v>
      </c>
      <c r="E1229" t="str">
        <f t="shared" si="74"/>
        <v>Sell</v>
      </c>
      <c r="F1229">
        <f t="shared" si="76"/>
        <v>0</v>
      </c>
      <c r="G1229">
        <f t="shared" si="75"/>
        <v>0</v>
      </c>
      <c r="H1229" s="12" cm="1">
        <f t="array" ref="H1229">PRODUCT(1+G$2:G1229)-1</f>
        <v>0.50083931272443238</v>
      </c>
      <c r="I1229">
        <f>H1229-MAX(H$2:H1229)</f>
        <v>-7.2211192115001488E-3</v>
      </c>
      <c r="L1229" s="2">
        <f t="shared" si="77"/>
        <v>0.81341389996035962</v>
      </c>
    </row>
    <row r="1230" spans="1:12" x14ac:dyDescent="0.25">
      <c r="A1230" s="1">
        <v>45699</v>
      </c>
      <c r="B1230">
        <v>602.54998779296795</v>
      </c>
      <c r="C1230">
        <v>600.461499023437</v>
      </c>
      <c r="D1230">
        <v>598.76620117187394</v>
      </c>
      <c r="E1230" t="str">
        <f t="shared" si="74"/>
        <v>Sell</v>
      </c>
      <c r="F1230">
        <f t="shared" si="76"/>
        <v>0</v>
      </c>
      <c r="G1230">
        <f t="shared" si="75"/>
        <v>0</v>
      </c>
      <c r="H1230" s="12" cm="1">
        <f t="array" ref="H1230">PRODUCT(1+G$2:G1230)-1</f>
        <v>0.50083931272443238</v>
      </c>
      <c r="I1230">
        <f>H1230-MAX(H$2:H1230)</f>
        <v>-7.2211192115001488E-3</v>
      </c>
      <c r="L1230" s="2">
        <f t="shared" si="77"/>
        <v>0.80897053174102207</v>
      </c>
    </row>
    <row r="1231" spans="1:12" x14ac:dyDescent="0.25">
      <c r="A1231" s="1">
        <v>45700</v>
      </c>
      <c r="B1231">
        <v>599.20001220703102</v>
      </c>
      <c r="C1231">
        <v>601.20350036621005</v>
      </c>
      <c r="D1231">
        <v>598.74100097656196</v>
      </c>
      <c r="E1231" t="str">
        <f t="shared" si="74"/>
        <v>Sell</v>
      </c>
      <c r="F1231">
        <f t="shared" si="76"/>
        <v>0</v>
      </c>
      <c r="G1231">
        <f t="shared" si="75"/>
        <v>0</v>
      </c>
      <c r="H1231" s="12" cm="1">
        <f t="array" ref="H1231">PRODUCT(1+G$2:G1231)-1</f>
        <v>0.50083931272443238</v>
      </c>
      <c r="I1231">
        <f>H1231-MAX(H$2:H1231)</f>
        <v>-7.2211192115001488E-3</v>
      </c>
      <c r="L1231" s="2">
        <f t="shared" si="77"/>
        <v>0.79891326306658639</v>
      </c>
    </row>
    <row r="1232" spans="1:12" x14ac:dyDescent="0.25">
      <c r="A1232" s="1">
        <v>45701</v>
      </c>
      <c r="B1232">
        <v>604.47998046875</v>
      </c>
      <c r="C1232">
        <v>601.91099853515595</v>
      </c>
      <c r="D1232">
        <v>598.83740112304599</v>
      </c>
      <c r="E1232" t="str">
        <f t="shared" si="74"/>
        <v>Sell</v>
      </c>
      <c r="F1232">
        <f t="shared" si="76"/>
        <v>0</v>
      </c>
      <c r="G1232">
        <f t="shared" si="75"/>
        <v>0</v>
      </c>
      <c r="H1232" s="12" cm="1">
        <f t="array" ref="H1232">PRODUCT(1+G$2:G1232)-1</f>
        <v>0.50083931272443238</v>
      </c>
      <c r="I1232">
        <f>H1232-MAX(H$2:H1232)</f>
        <v>-7.2211192115001488E-3</v>
      </c>
      <c r="L1232" s="2">
        <f t="shared" si="77"/>
        <v>0.81476473960376505</v>
      </c>
    </row>
    <row r="1233" spans="1:12" x14ac:dyDescent="0.25">
      <c r="A1233" s="1">
        <v>45702</v>
      </c>
      <c r="B1233">
        <v>609.94000244140602</v>
      </c>
      <c r="C1233">
        <v>602.69949951171805</v>
      </c>
      <c r="D1233">
        <v>598.97680175781204</v>
      </c>
      <c r="E1233" t="str">
        <f t="shared" si="74"/>
        <v>Sell</v>
      </c>
      <c r="F1233">
        <f t="shared" si="76"/>
        <v>0</v>
      </c>
      <c r="G1233">
        <f t="shared" si="75"/>
        <v>0</v>
      </c>
      <c r="H1233" s="12" cm="1">
        <f t="array" ref="H1233">PRODUCT(1+G$2:G1233)-1</f>
        <v>0.50083931272443238</v>
      </c>
      <c r="I1233">
        <f>H1233-MAX(H$2:H1233)</f>
        <v>-7.2211192115001488E-3</v>
      </c>
      <c r="L1233" s="2">
        <f t="shared" si="77"/>
        <v>0.83115677188538695</v>
      </c>
    </row>
    <row r="1234" spans="1:12" x14ac:dyDescent="0.25">
      <c r="A1234" s="1">
        <v>45706</v>
      </c>
      <c r="B1234">
        <v>610.88000488281205</v>
      </c>
      <c r="C1234">
        <v>603.39549865722597</v>
      </c>
      <c r="D1234">
        <v>599.12660156249899</v>
      </c>
      <c r="E1234" t="str">
        <f t="shared" si="74"/>
        <v>Sell</v>
      </c>
      <c r="F1234">
        <f t="shared" si="76"/>
        <v>0</v>
      </c>
      <c r="G1234">
        <f t="shared" si="75"/>
        <v>0</v>
      </c>
      <c r="H1234" s="12" cm="1">
        <f t="array" ref="H1234">PRODUCT(1+G$2:G1234)-1</f>
        <v>0.50083931272443238</v>
      </c>
      <c r="I1234">
        <f>H1234-MAX(H$2:H1234)</f>
        <v>-7.2211192115001488E-3</v>
      </c>
      <c r="L1234" s="2">
        <f t="shared" si="77"/>
        <v>0.83397883934985828</v>
      </c>
    </row>
    <row r="1235" spans="1:12" x14ac:dyDescent="0.25">
      <c r="A1235" s="1">
        <v>45707</v>
      </c>
      <c r="B1235">
        <v>610.08001708984295</v>
      </c>
      <c r="C1235">
        <v>603.86600036620996</v>
      </c>
      <c r="D1235">
        <v>599.21560180664005</v>
      </c>
      <c r="E1235" t="str">
        <f t="shared" si="74"/>
        <v>Sell</v>
      </c>
      <c r="F1235">
        <f t="shared" si="76"/>
        <v>0</v>
      </c>
      <c r="G1235">
        <f t="shared" si="75"/>
        <v>0</v>
      </c>
      <c r="H1235" s="12" cm="1">
        <f t="array" ref="H1235">PRODUCT(1+G$2:G1235)-1</f>
        <v>0.50083931272443238</v>
      </c>
      <c r="I1235">
        <f>H1235-MAX(H$2:H1235)</f>
        <v>-7.2211192115001488E-3</v>
      </c>
      <c r="L1235" s="2">
        <f t="shared" si="77"/>
        <v>0.83157712269140427</v>
      </c>
    </row>
    <row r="1236" spans="1:12" x14ac:dyDescent="0.25">
      <c r="A1236" s="1">
        <v>45708</v>
      </c>
      <c r="B1236">
        <v>611.53997802734295</v>
      </c>
      <c r="C1236">
        <v>604.14700012207004</v>
      </c>
      <c r="D1236">
        <v>599.29320190429598</v>
      </c>
      <c r="E1236" t="str">
        <f t="shared" si="74"/>
        <v>Sell</v>
      </c>
      <c r="F1236">
        <f t="shared" si="76"/>
        <v>0</v>
      </c>
      <c r="G1236">
        <f t="shared" si="75"/>
        <v>0</v>
      </c>
      <c r="H1236" s="12" cm="1">
        <f t="array" ref="H1236">PRODUCT(1+G$2:G1236)-1</f>
        <v>0.50083931272443238</v>
      </c>
      <c r="I1236">
        <f>H1236-MAX(H$2:H1236)</f>
        <v>-7.2211192115001488E-3</v>
      </c>
      <c r="L1236" s="2">
        <f t="shared" si="77"/>
        <v>0.8359602052022912</v>
      </c>
    </row>
    <row r="1237" spans="1:12" x14ac:dyDescent="0.25">
      <c r="A1237" s="1">
        <v>45709</v>
      </c>
      <c r="B1237">
        <v>610.15997314453102</v>
      </c>
      <c r="C1237">
        <v>604.36499938964801</v>
      </c>
      <c r="D1237">
        <v>599.34760131835901</v>
      </c>
      <c r="E1237" t="str">
        <f t="shared" si="74"/>
        <v>Hold</v>
      </c>
      <c r="F1237">
        <f t="shared" si="76"/>
        <v>0</v>
      </c>
      <c r="G1237">
        <f t="shared" si="75"/>
        <v>0</v>
      </c>
      <c r="H1237" s="12" cm="1">
        <f t="array" ref="H1237">PRODUCT(1+G$2:G1237)-1</f>
        <v>0.50083931272443238</v>
      </c>
      <c r="I1237">
        <f>H1237-MAX(H$2:H1237)</f>
        <v>-7.2211192115001488E-3</v>
      </c>
      <c r="L1237" s="2">
        <f t="shared" si="77"/>
        <v>0.83181716608978651</v>
      </c>
    </row>
    <row r="1238" spans="1:12" x14ac:dyDescent="0.25">
      <c r="A1238" s="1">
        <v>45712</v>
      </c>
      <c r="B1238">
        <v>602.02001953125</v>
      </c>
      <c r="C1238">
        <v>603.975500488281</v>
      </c>
      <c r="D1238">
        <v>599.23420166015603</v>
      </c>
      <c r="E1238" t="str">
        <f t="shared" si="74"/>
        <v>Sell</v>
      </c>
      <c r="F1238">
        <f t="shared" si="76"/>
        <v>0</v>
      </c>
      <c r="G1238">
        <f t="shared" si="75"/>
        <v>0</v>
      </c>
      <c r="H1238" s="12" cm="1">
        <f t="array" ref="H1238">PRODUCT(1+G$2:G1238)-1</f>
        <v>0.50083931272443238</v>
      </c>
      <c r="I1238">
        <f>H1238-MAX(H$2:H1238)</f>
        <v>-7.2211192115001488E-3</v>
      </c>
      <c r="L1238" s="2">
        <f t="shared" si="77"/>
        <v>0.80737946546000305</v>
      </c>
    </row>
    <row r="1239" spans="1:12" x14ac:dyDescent="0.25">
      <c r="A1239" s="1">
        <v>45713</v>
      </c>
      <c r="B1239">
        <v>597.15002441406205</v>
      </c>
      <c r="C1239">
        <v>604.09250183105405</v>
      </c>
      <c r="D1239">
        <v>599.06980224609299</v>
      </c>
      <c r="E1239" t="str">
        <f t="shared" si="74"/>
        <v>Hold</v>
      </c>
      <c r="F1239">
        <f t="shared" si="76"/>
        <v>0</v>
      </c>
      <c r="G1239">
        <f t="shared" si="75"/>
        <v>0</v>
      </c>
      <c r="H1239" s="12" cm="1">
        <f t="array" ref="H1239">PRODUCT(1+G$2:G1239)-1</f>
        <v>0.50083931272443238</v>
      </c>
      <c r="I1239">
        <f>H1239-MAX(H$2:H1239)</f>
        <v>-7.2211192115001488E-3</v>
      </c>
      <c r="L1239" s="2">
        <f t="shared" si="77"/>
        <v>0.79275880686703892</v>
      </c>
    </row>
    <row r="1240" spans="1:12" x14ac:dyDescent="0.25">
      <c r="A1240" s="1">
        <v>45714</v>
      </c>
      <c r="B1240">
        <v>595.92999267578102</v>
      </c>
      <c r="C1240">
        <v>603.85800170898403</v>
      </c>
      <c r="D1240">
        <v>598.87280151367099</v>
      </c>
      <c r="E1240" t="str">
        <f t="shared" si="74"/>
        <v>Hold</v>
      </c>
      <c r="F1240">
        <f t="shared" si="76"/>
        <v>0</v>
      </c>
      <c r="G1240">
        <f t="shared" si="75"/>
        <v>0</v>
      </c>
      <c r="H1240" s="12" cm="1">
        <f t="array" ref="H1240">PRODUCT(1+G$2:G1240)-1</f>
        <v>0.50083931272443238</v>
      </c>
      <c r="I1240">
        <f>H1240-MAX(H$2:H1240)</f>
        <v>-7.2211192115001488E-3</v>
      </c>
      <c r="L1240" s="2">
        <f t="shared" si="77"/>
        <v>0.78909603779052961</v>
      </c>
    </row>
    <row r="1241" spans="1:12" x14ac:dyDescent="0.25">
      <c r="A1241" s="1">
        <v>45715</v>
      </c>
      <c r="B1241">
        <v>596.84997558593705</v>
      </c>
      <c r="C1241">
        <v>603.51450195312395</v>
      </c>
      <c r="D1241">
        <v>598.67820068359299</v>
      </c>
      <c r="E1241" t="str">
        <f t="shared" si="74"/>
        <v>Hold</v>
      </c>
      <c r="F1241">
        <f t="shared" si="76"/>
        <v>0</v>
      </c>
      <c r="G1241">
        <f t="shared" si="75"/>
        <v>0</v>
      </c>
      <c r="H1241" s="12" cm="1">
        <f t="array" ref="H1241">PRODUCT(1+G$2:G1241)-1</f>
        <v>0.50083931272443238</v>
      </c>
      <c r="I1241">
        <f>H1241-MAX(H$2:H1241)</f>
        <v>-7.2211192115001488E-3</v>
      </c>
      <c r="L1241" s="2">
        <f t="shared" si="77"/>
        <v>0.79185800278578811</v>
      </c>
    </row>
    <row r="1242" spans="1:12" x14ac:dyDescent="0.25">
      <c r="A1242" s="1">
        <v>45716</v>
      </c>
      <c r="B1242">
        <v>585.55999755859295</v>
      </c>
      <c r="C1242">
        <v>602.59450073242101</v>
      </c>
      <c r="D1242">
        <v>598.26140014648399</v>
      </c>
      <c r="E1242" t="str">
        <f t="shared" si="74"/>
        <v>Hold</v>
      </c>
      <c r="F1242">
        <f t="shared" si="76"/>
        <v>0</v>
      </c>
      <c r="G1242">
        <f t="shared" si="75"/>
        <v>0</v>
      </c>
      <c r="H1242" s="12" cm="1">
        <f t="array" ref="H1242">PRODUCT(1+G$2:G1242)-1</f>
        <v>0.50083931272443238</v>
      </c>
      <c r="I1242">
        <f>H1242-MAX(H$2:H1242)</f>
        <v>-7.2211192115001488E-3</v>
      </c>
      <c r="L1242" s="2">
        <f t="shared" si="77"/>
        <v>0.75796332521675236</v>
      </c>
    </row>
    <row r="1243" spans="1:12" x14ac:dyDescent="0.25">
      <c r="A1243" s="1">
        <v>45719</v>
      </c>
      <c r="B1243">
        <v>596.17999267578102</v>
      </c>
      <c r="C1243">
        <v>602.02850036620998</v>
      </c>
      <c r="D1243">
        <v>598.06499999999903</v>
      </c>
      <c r="E1243" t="str">
        <f t="shared" si="74"/>
        <v>Hold</v>
      </c>
      <c r="F1243">
        <f t="shared" si="76"/>
        <v>0</v>
      </c>
      <c r="G1243">
        <f t="shared" si="75"/>
        <v>0</v>
      </c>
      <c r="H1243" s="12" cm="1">
        <f t="array" ref="H1243">PRODUCT(1+G$2:G1243)-1</f>
        <v>0.50083931272443238</v>
      </c>
      <c r="I1243">
        <f>H1243-MAX(H$2:H1243)</f>
        <v>-7.2211192115001488E-3</v>
      </c>
      <c r="L1243" s="2">
        <f t="shared" si="77"/>
        <v>0.78984658569874844</v>
      </c>
    </row>
    <row r="1244" spans="1:12" x14ac:dyDescent="0.25">
      <c r="A1244" s="1">
        <v>45720</v>
      </c>
      <c r="B1244">
        <v>579.71002197265602</v>
      </c>
      <c r="C1244">
        <v>601.38050231933505</v>
      </c>
      <c r="D1244">
        <v>597.57540039062405</v>
      </c>
      <c r="E1244" t="str">
        <f t="shared" si="74"/>
        <v>Hold</v>
      </c>
      <c r="F1244">
        <f t="shared" si="76"/>
        <v>0</v>
      </c>
      <c r="G1244">
        <f t="shared" si="75"/>
        <v>0</v>
      </c>
      <c r="H1244" s="12" cm="1">
        <f t="array" ref="H1244">PRODUCT(1+G$2:G1244)-1</f>
        <v>0.50083931272443238</v>
      </c>
      <c r="I1244">
        <f>H1244-MAX(H$2:H1244)</f>
        <v>-7.2211192115001488E-3</v>
      </c>
      <c r="L1244" s="2">
        <f t="shared" si="77"/>
        <v>0.74040057746012899</v>
      </c>
    </row>
    <row r="1245" spans="1:12" x14ac:dyDescent="0.25">
      <c r="A1245" s="1">
        <v>45721</v>
      </c>
      <c r="B1245">
        <v>576.69000244140602</v>
      </c>
      <c r="C1245">
        <v>600.32350158691395</v>
      </c>
      <c r="D1245">
        <v>597.02960083007804</v>
      </c>
      <c r="E1245" t="str">
        <f t="shared" si="74"/>
        <v>Hold</v>
      </c>
      <c r="F1245">
        <f t="shared" si="76"/>
        <v>0</v>
      </c>
      <c r="G1245">
        <f t="shared" si="75"/>
        <v>0</v>
      </c>
      <c r="H1245" s="12" cm="1">
        <f t="array" ref="H1245">PRODUCT(1+G$2:G1245)-1</f>
        <v>0.50083931272443238</v>
      </c>
      <c r="I1245">
        <f>H1245-MAX(H$2:H1245)</f>
        <v>-7.2211192115001488E-3</v>
      </c>
      <c r="L1245" s="2">
        <f t="shared" si="77"/>
        <v>0.73133390009229104</v>
      </c>
    </row>
    <row r="1246" spans="1:12" x14ac:dyDescent="0.25">
      <c r="A1246" s="1">
        <v>45722</v>
      </c>
      <c r="B1246">
        <v>575.47998046875</v>
      </c>
      <c r="C1246">
        <v>599.06549987792903</v>
      </c>
      <c r="D1246">
        <v>596.71200073242096</v>
      </c>
      <c r="E1246" t="str">
        <f t="shared" si="74"/>
        <v>Hold</v>
      </c>
      <c r="F1246">
        <f t="shared" si="76"/>
        <v>0</v>
      </c>
      <c r="G1246">
        <f t="shared" si="75"/>
        <v>0</v>
      </c>
      <c r="H1246" s="12" cm="1">
        <f t="array" ref="H1246">PRODUCT(1+G$2:G1246)-1</f>
        <v>0.50083931272443238</v>
      </c>
      <c r="I1246">
        <f>H1246-MAX(H$2:H1246)</f>
        <v>-7.2211192115001488E-3</v>
      </c>
      <c r="L1246" s="2">
        <f t="shared" si="77"/>
        <v>0.72770118225038816</v>
      </c>
    </row>
    <row r="1247" spans="1:12" x14ac:dyDescent="0.25">
      <c r="A1247" s="1">
        <v>45723</v>
      </c>
      <c r="B1247">
        <v>570.90002441406205</v>
      </c>
      <c r="C1247">
        <v>597.31100158691402</v>
      </c>
      <c r="D1247">
        <v>596.49460083007796</v>
      </c>
      <c r="E1247" t="str">
        <f t="shared" si="74"/>
        <v>Buy</v>
      </c>
      <c r="F1247">
        <f t="shared" si="76"/>
        <v>1</v>
      </c>
      <c r="G1247">
        <f t="shared" si="75"/>
        <v>-5.7978584989399435E-3</v>
      </c>
      <c r="H1247" s="12" cm="1">
        <f t="array" ref="H1247">PRODUCT(1+G$2:G1247)-1</f>
        <v>0.4921376587596098</v>
      </c>
      <c r="I1247">
        <f>H1247-MAX(H$2:H1247)</f>
        <v>-1.5922773176322735E-2</v>
      </c>
      <c r="L1247" s="2">
        <f t="shared" si="77"/>
        <v>0.71395127650406842</v>
      </c>
    </row>
    <row r="1248" spans="1:12" x14ac:dyDescent="0.25">
      <c r="A1248" s="1">
        <v>45726</v>
      </c>
      <c r="B1248">
        <v>567.59002685546795</v>
      </c>
      <c r="C1248">
        <v>595.34600219726497</v>
      </c>
      <c r="D1248">
        <v>596.02860107421805</v>
      </c>
      <c r="E1248" t="str">
        <f t="shared" si="74"/>
        <v>Buy</v>
      </c>
      <c r="F1248">
        <f t="shared" si="76"/>
        <v>1</v>
      </c>
      <c r="G1248">
        <f t="shared" si="75"/>
        <v>-1.4429433312596636E-2</v>
      </c>
      <c r="H1248" s="12" cm="1">
        <f t="array" ref="H1248">PRODUCT(1+G$2:G1248)-1</f>
        <v>0.47060695791932394</v>
      </c>
      <c r="I1248">
        <f>H1248-MAX(H$2:H1248)</f>
        <v>-3.745347401660859E-2</v>
      </c>
      <c r="L1248" s="2">
        <f t="shared" si="77"/>
        <v>0.70401402952882031</v>
      </c>
    </row>
    <row r="1249" spans="1:12" x14ac:dyDescent="0.25">
      <c r="A1249" s="1">
        <v>45727</v>
      </c>
      <c r="B1249">
        <v>559.40002441406205</v>
      </c>
      <c r="C1249">
        <v>593.11450195312398</v>
      </c>
      <c r="D1249">
        <v>595.29540161132797</v>
      </c>
      <c r="E1249" t="str">
        <f t="shared" si="74"/>
        <v>Buy</v>
      </c>
      <c r="F1249">
        <f t="shared" si="76"/>
        <v>1</v>
      </c>
      <c r="G1249">
        <f t="shared" si="75"/>
        <v>4.9516595909972344E-3</v>
      </c>
      <c r="H1249" s="12" cm="1">
        <f t="array" ref="H1249">PRODUCT(1+G$2:G1249)-1</f>
        <v>0.47788890296709252</v>
      </c>
      <c r="I1249">
        <f>H1249-MAX(H$2:H1249)</f>
        <v>-3.0171528968840011E-2</v>
      </c>
      <c r="L1249" s="2">
        <f t="shared" si="77"/>
        <v>0.67942607272600519</v>
      </c>
    </row>
    <row r="1250" spans="1:12" x14ac:dyDescent="0.25">
      <c r="A1250" s="1">
        <v>45728</v>
      </c>
      <c r="B1250">
        <v>562.16998291015602</v>
      </c>
      <c r="C1250">
        <v>591.09550170898399</v>
      </c>
      <c r="D1250">
        <v>594.54880126953105</v>
      </c>
      <c r="E1250" t="str">
        <f t="shared" si="74"/>
        <v>Buy</v>
      </c>
      <c r="F1250">
        <f t="shared" si="76"/>
        <v>1</v>
      </c>
      <c r="G1250">
        <f t="shared" si="75"/>
        <v>-6.5460497494565549E-3</v>
      </c>
      <c r="H1250" s="12" cm="1">
        <f t="array" ref="H1250">PRODUCT(1+G$2:G1250)-1</f>
        <v>0.46821456868410016</v>
      </c>
      <c r="I1250">
        <f>H1250-MAX(H$2:H1250)</f>
        <v>-3.984586325183237E-2</v>
      </c>
      <c r="L1250" s="2">
        <f t="shared" si="77"/>
        <v>0.68774201894638975</v>
      </c>
    </row>
    <row r="1251" spans="1:12" x14ac:dyDescent="0.25">
      <c r="A1251" s="1">
        <v>45729</v>
      </c>
      <c r="B1251">
        <v>558.489990234375</v>
      </c>
      <c r="C1251">
        <v>589.06000061035104</v>
      </c>
      <c r="D1251">
        <v>593.76780151367097</v>
      </c>
      <c r="E1251" t="str">
        <f t="shared" si="74"/>
        <v>Buy</v>
      </c>
      <c r="F1251">
        <f t="shared" si="76"/>
        <v>1</v>
      </c>
      <c r="G1251">
        <f t="shared" si="75"/>
        <v>-4.2614996229639957E-3</v>
      </c>
      <c r="H1251" s="12" cm="1">
        <f t="array" ref="H1251">PRODUCT(1+G$2:G1251)-1</f>
        <v>0.4619577728532227</v>
      </c>
      <c r="I1251">
        <f>H1251-MAX(H$2:H1251)</f>
        <v>-4.6102659082709829E-2</v>
      </c>
      <c r="L1251" s="2">
        <f t="shared" si="77"/>
        <v>0.67669397572611845</v>
      </c>
    </row>
    <row r="1252" spans="1:12" x14ac:dyDescent="0.25">
      <c r="A1252" s="1">
        <v>45730</v>
      </c>
      <c r="B1252">
        <v>556.10998535156205</v>
      </c>
      <c r="C1252">
        <v>586.64150085449205</v>
      </c>
      <c r="D1252">
        <v>593.13220092773395</v>
      </c>
      <c r="E1252" t="str">
        <f t="shared" si="74"/>
        <v>Buy</v>
      </c>
      <c r="F1252">
        <f t="shared" si="76"/>
        <v>1</v>
      </c>
      <c r="G1252">
        <f t="shared" si="75"/>
        <v>1.2011999157968627E-2</v>
      </c>
      <c r="H1252" s="12" cm="1">
        <f t="array" ref="H1252">PRODUCT(1+G$2:G1252)-1</f>
        <v>0.47951880838972127</v>
      </c>
      <c r="I1252">
        <f>H1252-MAX(H$2:H1252)</f>
        <v>-2.8541623546211259E-2</v>
      </c>
      <c r="L1252" s="2">
        <f t="shared" si="77"/>
        <v>0.66954874498073558</v>
      </c>
    </row>
    <row r="1253" spans="1:12" x14ac:dyDescent="0.25">
      <c r="A1253" s="1">
        <v>45733</v>
      </c>
      <c r="B1253">
        <v>562.78997802734295</v>
      </c>
      <c r="C1253">
        <v>584.28399963378899</v>
      </c>
      <c r="D1253">
        <v>592.58980102538999</v>
      </c>
      <c r="E1253" t="str">
        <f t="shared" si="74"/>
        <v>Buy</v>
      </c>
      <c r="F1253">
        <f t="shared" si="76"/>
        <v>1</v>
      </c>
      <c r="G1253">
        <f t="shared" si="75"/>
        <v>3.5715095223805573E-3</v>
      </c>
      <c r="H1253" s="12" cm="1">
        <f t="array" ref="H1253">PRODUCT(1+G$2:G1253)-1</f>
        <v>0.4848029239024263</v>
      </c>
      <c r="I1253">
        <f>H1253-MAX(H$2:H1253)</f>
        <v>-2.3257508033506236E-2</v>
      </c>
      <c r="L1253" s="2">
        <f t="shared" si="77"/>
        <v>0.68960336309963166</v>
      </c>
    </row>
    <row r="1254" spans="1:12" x14ac:dyDescent="0.25">
      <c r="A1254" s="1">
        <v>45734</v>
      </c>
      <c r="B1254">
        <v>564.79998779296795</v>
      </c>
      <c r="C1254">
        <v>581.97999877929601</v>
      </c>
      <c r="D1254">
        <v>592.09800048828095</v>
      </c>
      <c r="E1254" t="str">
        <f t="shared" si="74"/>
        <v>Buy</v>
      </c>
      <c r="F1254">
        <f t="shared" si="76"/>
        <v>1</v>
      </c>
      <c r="G1254">
        <f t="shared" si="75"/>
        <v>-3.4879085440899637E-3</v>
      </c>
      <c r="H1254" s="12" cm="1">
        <f t="array" ref="H1254">PRODUCT(1+G$2:G1254)-1</f>
        <v>0.47962406709785732</v>
      </c>
      <c r="I1254">
        <f>H1254-MAX(H$2:H1254)</f>
        <v>-2.8436364838075212E-2</v>
      </c>
      <c r="L1254" s="2">
        <f t="shared" si="77"/>
        <v>0.69563779759998823</v>
      </c>
    </row>
    <row r="1255" spans="1:12" x14ac:dyDescent="0.25">
      <c r="A1255" s="1">
        <v>45735</v>
      </c>
      <c r="B1255">
        <v>562.83001708984295</v>
      </c>
      <c r="C1255">
        <v>579.61749877929606</v>
      </c>
      <c r="D1255">
        <v>591.60400024414002</v>
      </c>
      <c r="E1255" t="str">
        <f t="shared" si="74"/>
        <v>Buy</v>
      </c>
      <c r="F1255">
        <f t="shared" si="76"/>
        <v>1</v>
      </c>
      <c r="G1255">
        <f t="shared" si="75"/>
        <v>8.8836768618932144E-4</v>
      </c>
      <c r="H1255" s="12" cm="1">
        <f t="array" ref="H1255">PRODUCT(1+G$2:G1255)-1</f>
        <v>0.48093851730677506</v>
      </c>
      <c r="I1255">
        <f>H1255-MAX(H$2:H1255)</f>
        <v>-2.7121914629157473E-2</v>
      </c>
      <c r="L1255" s="2">
        <f t="shared" si="77"/>
        <v>0.68972356803805734</v>
      </c>
    </row>
    <row r="1256" spans="1:12" x14ac:dyDescent="0.25">
      <c r="A1256" s="1">
        <v>45736</v>
      </c>
      <c r="B1256">
        <v>563.33001708984295</v>
      </c>
      <c r="C1256">
        <v>577.20700073242097</v>
      </c>
      <c r="D1256">
        <v>590.94520019531205</v>
      </c>
      <c r="E1256" t="str">
        <f t="shared" si="74"/>
        <v>Buy</v>
      </c>
      <c r="F1256">
        <f t="shared" si="76"/>
        <v>1</v>
      </c>
      <c r="G1256">
        <f t="shared" si="75"/>
        <v>-7.1893697656839756E-3</v>
      </c>
      <c r="H1256" s="12" cm="1">
        <f t="array" ref="H1256">PRODUCT(1+G$2:G1256)-1</f>
        <v>0.47029150270561293</v>
      </c>
      <c r="I1256">
        <f>H1256-MAX(H$2:H1256)</f>
        <v>-3.7768929230319603E-2</v>
      </c>
      <c r="L1256" s="2">
        <f t="shared" si="77"/>
        <v>0.69122466385449488</v>
      </c>
    </row>
    <row r="1257" spans="1:12" x14ac:dyDescent="0.25">
      <c r="A1257" s="1">
        <v>45737</v>
      </c>
      <c r="B1257">
        <v>559.280029296875</v>
      </c>
      <c r="C1257">
        <v>574.66300354003897</v>
      </c>
      <c r="D1257">
        <v>590.18240112304602</v>
      </c>
      <c r="E1257" t="str">
        <f t="shared" si="74"/>
        <v>Hold</v>
      </c>
      <c r="F1257">
        <f t="shared" si="76"/>
        <v>1</v>
      </c>
      <c r="H1257" s="12" cm="1">
        <f t="array" ref="H1257">PRODUCT(1+G$2:G1256)-1</f>
        <v>0.47029150270561293</v>
      </c>
      <c r="I1257">
        <f>H1257-MAX(H$2:H1257)</f>
        <v>-3.7768929230319603E-2</v>
      </c>
      <c r="L1257" s="2">
        <f t="shared" si="77"/>
        <v>0.67906582438920038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BCEEC-997A-492E-9F1B-CC075F04B972}">
  <sheetPr codeName="Sheet2"/>
  <dimension ref="A1:I688"/>
  <sheetViews>
    <sheetView workbookViewId="0">
      <selection activeCell="N18" sqref="N18"/>
    </sheetView>
  </sheetViews>
  <sheetFormatPr defaultRowHeight="15" x14ac:dyDescent="0.25"/>
  <cols>
    <col min="1" max="1" width="9.5703125" customWidth="1"/>
    <col min="2" max="2" width="11" customWidth="1"/>
    <col min="3" max="3" width="11.28515625" customWidth="1"/>
    <col min="4" max="4" width="11" customWidth="1"/>
    <col min="5" max="5" width="11.28515625" customWidth="1"/>
    <col min="6" max="6" width="12.85546875" customWidth="1"/>
    <col min="7" max="7" width="11.5703125" customWidth="1"/>
    <col min="8" max="8" width="16.85546875" bestFit="1" customWidth="1"/>
  </cols>
  <sheetData>
    <row r="1" spans="1:9" x14ac:dyDescent="0.25">
      <c r="A1" s="3" t="s">
        <v>18</v>
      </c>
      <c r="B1" s="3" t="s">
        <v>17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/>
    </row>
    <row r="2" spans="1:9" x14ac:dyDescent="0.25">
      <c r="A2">
        <v>1</v>
      </c>
      <c r="B2" s="1">
        <v>44104</v>
      </c>
      <c r="C2" s="4">
        <v>333.08999633789</v>
      </c>
      <c r="D2" s="1">
        <v>44125</v>
      </c>
      <c r="E2" s="4">
        <v>343.329986572265</v>
      </c>
      <c r="F2" s="10">
        <f t="shared" ref="F2:F12" si="0">IF(E2="","",(E2-C2)/C2)</f>
        <v>3.0742413002363019E-2</v>
      </c>
      <c r="G2" t="str">
        <f t="shared" ref="G2:G12" si="1">IF(F2&gt;0,"Win","Loss")</f>
        <v>Win</v>
      </c>
    </row>
    <row r="3" spans="1:9" x14ac:dyDescent="0.25">
      <c r="A3">
        <v>2</v>
      </c>
      <c r="B3" s="1">
        <v>44469</v>
      </c>
      <c r="C3" s="4">
        <v>436.01998901367102</v>
      </c>
      <c r="D3" s="1">
        <v>44498</v>
      </c>
      <c r="E3" s="4">
        <v>455.86999511718699</v>
      </c>
      <c r="F3" s="10">
        <f t="shared" si="0"/>
        <v>4.5525449758436615E-2</v>
      </c>
      <c r="G3" t="str">
        <f t="shared" si="1"/>
        <v>Win</v>
      </c>
      <c r="I3" s="2"/>
    </row>
    <row r="4" spans="1:9" x14ac:dyDescent="0.25">
      <c r="A4">
        <v>3</v>
      </c>
      <c r="B4" s="1">
        <v>44585</v>
      </c>
      <c r="C4" s="4">
        <v>432.02999877929602</v>
      </c>
      <c r="D4" s="1">
        <v>44652</v>
      </c>
      <c r="E4" s="4">
        <v>453.30999755859301</v>
      </c>
      <c r="F4" s="10">
        <f t="shared" si="0"/>
        <v>4.9255836028571587E-2</v>
      </c>
      <c r="G4" t="str">
        <f t="shared" si="1"/>
        <v>Win</v>
      </c>
    </row>
    <row r="5" spans="1:9" x14ac:dyDescent="0.25">
      <c r="A5">
        <v>4</v>
      </c>
      <c r="B5" s="1">
        <v>44683</v>
      </c>
      <c r="C5" s="4">
        <v>412.07000732421801</v>
      </c>
      <c r="D5" s="1">
        <v>44774</v>
      </c>
      <c r="E5" s="4">
        <v>409.14999389648398</v>
      </c>
      <c r="F5" s="10">
        <f t="shared" si="0"/>
        <v>-7.0862071391586574E-3</v>
      </c>
      <c r="G5" t="str">
        <f t="shared" si="1"/>
        <v>Loss</v>
      </c>
    </row>
    <row r="6" spans="1:9" x14ac:dyDescent="0.25">
      <c r="A6">
        <v>5</v>
      </c>
      <c r="B6" s="1">
        <v>44820</v>
      </c>
      <c r="C6" s="4">
        <v>384.14001464843699</v>
      </c>
      <c r="D6" s="1">
        <v>44875</v>
      </c>
      <c r="E6" s="4">
        <v>388.04998779296801</v>
      </c>
      <c r="F6" s="10">
        <f t="shared" si="0"/>
        <v>1.0178510427010345E-2</v>
      </c>
      <c r="G6" t="str">
        <f t="shared" si="1"/>
        <v>Win</v>
      </c>
    </row>
    <row r="7" spans="1:9" x14ac:dyDescent="0.25">
      <c r="A7">
        <v>6</v>
      </c>
      <c r="B7" s="1">
        <v>44929</v>
      </c>
      <c r="C7" s="4">
        <v>384.36999511718699</v>
      </c>
      <c r="D7" s="1">
        <v>44956</v>
      </c>
      <c r="E7" s="4">
        <v>402.79998779296801</v>
      </c>
      <c r="F7" s="10">
        <f t="shared" si="0"/>
        <v>4.7948572755170636E-2</v>
      </c>
      <c r="G7" t="str">
        <f t="shared" si="1"/>
        <v>Win</v>
      </c>
    </row>
    <row r="8" spans="1:9" x14ac:dyDescent="0.25">
      <c r="A8">
        <v>7</v>
      </c>
      <c r="B8" s="1">
        <v>44999</v>
      </c>
      <c r="C8" s="4">
        <v>390.5</v>
      </c>
      <c r="D8" s="1">
        <v>45029</v>
      </c>
      <c r="E8" s="4">
        <v>409.17999267578102</v>
      </c>
      <c r="F8" s="10">
        <f t="shared" si="0"/>
        <v>4.7836088798414909E-2</v>
      </c>
      <c r="G8" t="str">
        <f t="shared" si="1"/>
        <v>Win</v>
      </c>
    </row>
    <row r="9" spans="1:9" x14ac:dyDescent="0.25">
      <c r="A9">
        <v>8</v>
      </c>
      <c r="B9" s="1">
        <v>45166</v>
      </c>
      <c r="C9" s="4">
        <v>442.239990234375</v>
      </c>
      <c r="D9" s="1">
        <v>45250</v>
      </c>
      <c r="E9" s="4">
        <v>450.52999877929602</v>
      </c>
      <c r="F9" s="10">
        <f t="shared" si="0"/>
        <v>1.8745497304591442E-2</v>
      </c>
      <c r="G9" t="str">
        <f t="shared" si="1"/>
        <v>Win</v>
      </c>
    </row>
    <row r="10" spans="1:9" x14ac:dyDescent="0.25">
      <c r="A10">
        <v>9</v>
      </c>
      <c r="B10" s="1">
        <v>45407</v>
      </c>
      <c r="C10" s="4">
        <v>499.17999267578102</v>
      </c>
      <c r="D10" s="1">
        <v>45432</v>
      </c>
      <c r="E10" s="4">
        <v>529.57000732421795</v>
      </c>
      <c r="F10" s="10">
        <f t="shared" si="0"/>
        <v>6.0879873180685232E-2</v>
      </c>
      <c r="G10" t="str">
        <f t="shared" si="1"/>
        <v>Win</v>
      </c>
    </row>
    <row r="11" spans="1:9" x14ac:dyDescent="0.25">
      <c r="A11">
        <v>10</v>
      </c>
      <c r="B11" s="1">
        <v>45513</v>
      </c>
      <c r="C11" s="4">
        <v>529.80999755859295</v>
      </c>
      <c r="D11" s="1">
        <v>45538</v>
      </c>
      <c r="E11" s="4">
        <v>560.469970703125</v>
      </c>
      <c r="F11" s="10">
        <f t="shared" si="0"/>
        <v>5.7869751959788725E-2</v>
      </c>
      <c r="G11" t="str">
        <f t="shared" si="1"/>
        <v>Win</v>
      </c>
    </row>
    <row r="12" spans="1:9" x14ac:dyDescent="0.25">
      <c r="A12">
        <v>11</v>
      </c>
      <c r="B12" s="1">
        <v>45670</v>
      </c>
      <c r="C12" s="4">
        <v>575.77001953125</v>
      </c>
      <c r="D12" s="1">
        <v>45695</v>
      </c>
      <c r="E12" s="4">
        <v>606.89001464843705</v>
      </c>
      <c r="F12" s="10">
        <f t="shared" si="0"/>
        <v>5.4049349673542704E-2</v>
      </c>
      <c r="G12" t="str">
        <f t="shared" si="1"/>
        <v>Win</v>
      </c>
    </row>
    <row r="13" spans="1:9" x14ac:dyDescent="0.25">
      <c r="A13">
        <v>12</v>
      </c>
      <c r="B13" s="1">
        <v>45723</v>
      </c>
      <c r="C13" s="4">
        <v>570.90002441406205</v>
      </c>
      <c r="D13" s="1"/>
    </row>
    <row r="14" spans="1:9" x14ac:dyDescent="0.25">
      <c r="B14" s="1"/>
      <c r="D14" s="1"/>
    </row>
    <row r="15" spans="1:9" x14ac:dyDescent="0.25">
      <c r="B15" s="1"/>
      <c r="D15" s="1"/>
    </row>
    <row r="16" spans="1:9" x14ac:dyDescent="0.25">
      <c r="B16" s="1"/>
      <c r="D16" s="1"/>
    </row>
    <row r="17" spans="2:4" x14ac:dyDescent="0.25">
      <c r="B17" s="1"/>
      <c r="D17" s="1"/>
    </row>
    <row r="18" spans="2:4" x14ac:dyDescent="0.25">
      <c r="B18" s="1"/>
      <c r="D18" s="1"/>
    </row>
    <row r="19" spans="2:4" x14ac:dyDescent="0.25">
      <c r="B19" s="1"/>
      <c r="D19" s="1"/>
    </row>
    <row r="20" spans="2:4" x14ac:dyDescent="0.25">
      <c r="B20" s="1"/>
      <c r="D20" s="1"/>
    </row>
    <row r="21" spans="2:4" x14ac:dyDescent="0.25">
      <c r="B21" s="1"/>
      <c r="D21" s="1"/>
    </row>
    <row r="22" spans="2:4" x14ac:dyDescent="0.25">
      <c r="B22" s="1"/>
      <c r="D22" s="1"/>
    </row>
    <row r="23" spans="2:4" x14ac:dyDescent="0.25">
      <c r="B23" s="1"/>
      <c r="D23" s="1"/>
    </row>
    <row r="24" spans="2:4" x14ac:dyDescent="0.25">
      <c r="B24" s="1"/>
      <c r="D24" s="1"/>
    </row>
    <row r="25" spans="2:4" x14ac:dyDescent="0.25">
      <c r="B25" s="1"/>
      <c r="D25" s="1"/>
    </row>
    <row r="26" spans="2:4" x14ac:dyDescent="0.25">
      <c r="B26" s="1"/>
      <c r="D26" s="1"/>
    </row>
    <row r="27" spans="2:4" x14ac:dyDescent="0.25">
      <c r="B27" s="1"/>
      <c r="D27" s="1"/>
    </row>
    <row r="28" spans="2:4" x14ac:dyDescent="0.25">
      <c r="B28" s="1"/>
      <c r="D28" s="1"/>
    </row>
    <row r="29" spans="2:4" x14ac:dyDescent="0.25">
      <c r="B29" s="1"/>
      <c r="D29" s="1"/>
    </row>
    <row r="30" spans="2:4" x14ac:dyDescent="0.25">
      <c r="B30" s="1"/>
      <c r="D30" s="1"/>
    </row>
    <row r="31" spans="2:4" x14ac:dyDescent="0.25">
      <c r="B31" s="1"/>
      <c r="D31" s="1"/>
    </row>
    <row r="32" spans="2:4" x14ac:dyDescent="0.25">
      <c r="B32" s="1"/>
      <c r="D32" s="1"/>
    </row>
    <row r="33" spans="2:4" x14ac:dyDescent="0.25">
      <c r="B33" s="1"/>
      <c r="D33" s="1"/>
    </row>
    <row r="34" spans="2:4" x14ac:dyDescent="0.25">
      <c r="B34" s="1"/>
      <c r="D34" s="1"/>
    </row>
    <row r="35" spans="2:4" x14ac:dyDescent="0.25">
      <c r="B35" s="1"/>
      <c r="D35" s="1"/>
    </row>
    <row r="36" spans="2:4" x14ac:dyDescent="0.25">
      <c r="B36" s="1"/>
      <c r="D36" s="1"/>
    </row>
    <row r="37" spans="2:4" x14ac:dyDescent="0.25">
      <c r="B37" s="1"/>
      <c r="D37" s="1"/>
    </row>
    <row r="38" spans="2:4" x14ac:dyDescent="0.25">
      <c r="B38" s="1"/>
      <c r="D38" s="1"/>
    </row>
    <row r="39" spans="2:4" x14ac:dyDescent="0.25">
      <c r="B39" s="1"/>
      <c r="D39" s="1"/>
    </row>
    <row r="40" spans="2:4" x14ac:dyDescent="0.25">
      <c r="B40" s="1"/>
      <c r="D40" s="1"/>
    </row>
    <row r="41" spans="2:4" x14ac:dyDescent="0.25">
      <c r="B41" s="1"/>
      <c r="D41" s="1"/>
    </row>
    <row r="42" spans="2:4" x14ac:dyDescent="0.25">
      <c r="B42" s="1"/>
      <c r="D42" s="1"/>
    </row>
    <row r="43" spans="2:4" x14ac:dyDescent="0.25">
      <c r="B43" s="1"/>
      <c r="D43" s="1"/>
    </row>
    <row r="44" spans="2:4" x14ac:dyDescent="0.25">
      <c r="B44" s="1"/>
      <c r="D44" s="1"/>
    </row>
    <row r="45" spans="2:4" x14ac:dyDescent="0.25">
      <c r="B45" s="1"/>
      <c r="D45" s="1"/>
    </row>
    <row r="46" spans="2:4" x14ac:dyDescent="0.25">
      <c r="B46" s="1"/>
      <c r="D46" s="1"/>
    </row>
    <row r="47" spans="2:4" x14ac:dyDescent="0.25">
      <c r="B47" s="1"/>
      <c r="D47" s="1"/>
    </row>
    <row r="48" spans="2:4" x14ac:dyDescent="0.25">
      <c r="B48" s="1"/>
      <c r="D48" s="1"/>
    </row>
    <row r="49" spans="2:4" x14ac:dyDescent="0.25">
      <c r="B49" s="1"/>
      <c r="D49" s="1"/>
    </row>
    <row r="50" spans="2:4" x14ac:dyDescent="0.25">
      <c r="B50" s="1"/>
      <c r="D50" s="1"/>
    </row>
    <row r="51" spans="2:4" x14ac:dyDescent="0.25">
      <c r="B51" s="1"/>
      <c r="D51" s="1"/>
    </row>
    <row r="52" spans="2:4" x14ac:dyDescent="0.25">
      <c r="B52" s="1"/>
      <c r="D52" s="1"/>
    </row>
    <row r="53" spans="2:4" x14ac:dyDescent="0.25">
      <c r="B53" s="1"/>
      <c r="D53" s="1"/>
    </row>
    <row r="54" spans="2:4" x14ac:dyDescent="0.25">
      <c r="B54" s="1"/>
      <c r="D54" s="1"/>
    </row>
    <row r="55" spans="2:4" x14ac:dyDescent="0.25">
      <c r="B55" s="1"/>
      <c r="D55" s="1"/>
    </row>
    <row r="56" spans="2:4" x14ac:dyDescent="0.25">
      <c r="B56" s="1"/>
      <c r="D56" s="1"/>
    </row>
    <row r="57" spans="2:4" x14ac:dyDescent="0.25">
      <c r="B57" s="1"/>
      <c r="D57" s="1"/>
    </row>
    <row r="58" spans="2:4" x14ac:dyDescent="0.25">
      <c r="B58" s="1"/>
      <c r="D58" s="1"/>
    </row>
    <row r="59" spans="2:4" x14ac:dyDescent="0.25">
      <c r="B59" s="1"/>
      <c r="D59" s="1"/>
    </row>
    <row r="60" spans="2:4" x14ac:dyDescent="0.25">
      <c r="B60" s="1"/>
      <c r="D60" s="1"/>
    </row>
    <row r="61" spans="2:4" x14ac:dyDescent="0.25">
      <c r="B61" s="1"/>
      <c r="D61" s="1"/>
    </row>
    <row r="62" spans="2:4" x14ac:dyDescent="0.25">
      <c r="B62" s="1"/>
      <c r="D62" s="1"/>
    </row>
    <row r="63" spans="2:4" x14ac:dyDescent="0.25">
      <c r="B63" s="1"/>
      <c r="D63" s="1"/>
    </row>
    <row r="64" spans="2:4" x14ac:dyDescent="0.25">
      <c r="B64" s="1"/>
      <c r="D64" s="1"/>
    </row>
    <row r="65" spans="2:4" x14ac:dyDescent="0.25">
      <c r="B65" s="1"/>
      <c r="D65" s="1"/>
    </row>
    <row r="66" spans="2:4" x14ac:dyDescent="0.25">
      <c r="B66" s="1"/>
      <c r="D66" s="1"/>
    </row>
    <row r="67" spans="2:4" x14ac:dyDescent="0.25">
      <c r="B67" s="1"/>
      <c r="D67" s="1"/>
    </row>
    <row r="68" spans="2:4" x14ac:dyDescent="0.25">
      <c r="B68" s="1"/>
      <c r="D68" s="1"/>
    </row>
    <row r="69" spans="2:4" x14ac:dyDescent="0.25">
      <c r="B69" s="1"/>
      <c r="D69" s="1"/>
    </row>
    <row r="70" spans="2:4" x14ac:dyDescent="0.25">
      <c r="B70" s="1"/>
      <c r="D70" s="1"/>
    </row>
    <row r="71" spans="2:4" x14ac:dyDescent="0.25">
      <c r="B71" s="1"/>
      <c r="D71" s="1"/>
    </row>
    <row r="72" spans="2:4" x14ac:dyDescent="0.25">
      <c r="B72" s="1"/>
      <c r="D72" s="1"/>
    </row>
    <row r="73" spans="2:4" x14ac:dyDescent="0.25">
      <c r="B73" s="1"/>
      <c r="D73" s="1"/>
    </row>
    <row r="74" spans="2:4" x14ac:dyDescent="0.25">
      <c r="B74" s="1"/>
      <c r="D74" s="1"/>
    </row>
    <row r="75" spans="2:4" x14ac:dyDescent="0.25">
      <c r="B75" s="1"/>
      <c r="D75" s="1"/>
    </row>
    <row r="76" spans="2:4" x14ac:dyDescent="0.25">
      <c r="B76" s="1"/>
      <c r="D76" s="1"/>
    </row>
    <row r="77" spans="2:4" x14ac:dyDescent="0.25">
      <c r="B77" s="1"/>
      <c r="D77" s="1"/>
    </row>
    <row r="78" spans="2:4" x14ac:dyDescent="0.25">
      <c r="B78" s="1"/>
      <c r="D78" s="1"/>
    </row>
    <row r="79" spans="2:4" x14ac:dyDescent="0.25">
      <c r="B79" s="1"/>
      <c r="D79" s="1"/>
    </row>
    <row r="80" spans="2:4" x14ac:dyDescent="0.25">
      <c r="B80" s="1"/>
      <c r="D80" s="1"/>
    </row>
    <row r="81" spans="2:4" x14ac:dyDescent="0.25">
      <c r="B81" s="1"/>
      <c r="D81" s="1"/>
    </row>
    <row r="82" spans="2:4" x14ac:dyDescent="0.25">
      <c r="B82" s="1"/>
      <c r="D82" s="1"/>
    </row>
    <row r="83" spans="2:4" x14ac:dyDescent="0.25">
      <c r="B83" s="1"/>
      <c r="D83" s="1"/>
    </row>
    <row r="84" spans="2:4" x14ac:dyDescent="0.25">
      <c r="B84" s="1"/>
      <c r="D84" s="1"/>
    </row>
    <row r="85" spans="2:4" x14ac:dyDescent="0.25">
      <c r="B85" s="1"/>
      <c r="D85" s="1"/>
    </row>
    <row r="86" spans="2:4" x14ac:dyDescent="0.25">
      <c r="B86" s="1"/>
      <c r="D86" s="1"/>
    </row>
    <row r="87" spans="2:4" x14ac:dyDescent="0.25">
      <c r="B87" s="1"/>
      <c r="D87" s="1"/>
    </row>
    <row r="88" spans="2:4" x14ac:dyDescent="0.25">
      <c r="B88" s="1"/>
      <c r="D88" s="1"/>
    </row>
    <row r="89" spans="2:4" x14ac:dyDescent="0.25">
      <c r="B89" s="1"/>
      <c r="D89" s="1"/>
    </row>
    <row r="90" spans="2:4" x14ac:dyDescent="0.25">
      <c r="B90" s="1"/>
      <c r="D90" s="1"/>
    </row>
    <row r="91" spans="2:4" x14ac:dyDescent="0.25">
      <c r="B91" s="1"/>
      <c r="D91" s="1"/>
    </row>
    <row r="92" spans="2:4" x14ac:dyDescent="0.25">
      <c r="B92" s="1"/>
      <c r="D92" s="1"/>
    </row>
    <row r="93" spans="2:4" x14ac:dyDescent="0.25">
      <c r="B93" s="1"/>
      <c r="D93" s="1"/>
    </row>
    <row r="94" spans="2:4" x14ac:dyDescent="0.25">
      <c r="B94" s="1"/>
      <c r="D94" s="1"/>
    </row>
    <row r="95" spans="2:4" x14ac:dyDescent="0.25">
      <c r="B95" s="1"/>
      <c r="D95" s="1"/>
    </row>
    <row r="96" spans="2:4" x14ac:dyDescent="0.25">
      <c r="B96" s="1"/>
      <c r="D96" s="1"/>
    </row>
    <row r="97" spans="2:4" x14ac:dyDescent="0.25">
      <c r="B97" s="1"/>
      <c r="D97" s="1"/>
    </row>
    <row r="98" spans="2:4" x14ac:dyDescent="0.25">
      <c r="B98" s="1"/>
      <c r="D98" s="1"/>
    </row>
    <row r="99" spans="2:4" x14ac:dyDescent="0.25">
      <c r="B99" s="1"/>
      <c r="D99" s="1"/>
    </row>
    <row r="100" spans="2:4" x14ac:dyDescent="0.25">
      <c r="B100" s="1"/>
      <c r="D100" s="1"/>
    </row>
    <row r="101" spans="2:4" x14ac:dyDescent="0.25">
      <c r="B101" s="1"/>
      <c r="D101" s="1"/>
    </row>
    <row r="102" spans="2:4" x14ac:dyDescent="0.25">
      <c r="B102" s="1"/>
      <c r="D102" s="1"/>
    </row>
    <row r="103" spans="2:4" x14ac:dyDescent="0.25">
      <c r="B103" s="1"/>
      <c r="D103" s="1"/>
    </row>
    <row r="104" spans="2:4" x14ac:dyDescent="0.25">
      <c r="B104" s="1"/>
      <c r="D104" s="1"/>
    </row>
    <row r="105" spans="2:4" x14ac:dyDescent="0.25">
      <c r="B105" s="1"/>
      <c r="D105" s="1"/>
    </row>
    <row r="106" spans="2:4" x14ac:dyDescent="0.25">
      <c r="B106" s="1"/>
      <c r="D106" s="1"/>
    </row>
    <row r="107" spans="2:4" x14ac:dyDescent="0.25">
      <c r="B107" s="1"/>
      <c r="D107" s="1"/>
    </row>
    <row r="108" spans="2:4" x14ac:dyDescent="0.25">
      <c r="B108" s="1"/>
      <c r="D108" s="1"/>
    </row>
    <row r="109" spans="2:4" x14ac:dyDescent="0.25">
      <c r="B109" s="1"/>
      <c r="D109" s="1"/>
    </row>
    <row r="110" spans="2:4" x14ac:dyDescent="0.25">
      <c r="B110" s="1"/>
      <c r="D110" s="1"/>
    </row>
    <row r="111" spans="2:4" x14ac:dyDescent="0.25">
      <c r="B111" s="1"/>
      <c r="D111" s="1"/>
    </row>
    <row r="112" spans="2:4" x14ac:dyDescent="0.25">
      <c r="B112" s="1"/>
      <c r="D112" s="1"/>
    </row>
    <row r="113" spans="2:4" x14ac:dyDescent="0.25">
      <c r="B113" s="1"/>
      <c r="D113" s="1"/>
    </row>
    <row r="114" spans="2:4" x14ac:dyDescent="0.25">
      <c r="B114" s="1"/>
      <c r="D114" s="1"/>
    </row>
    <row r="115" spans="2:4" x14ac:dyDescent="0.25">
      <c r="B115" s="1"/>
      <c r="D115" s="1"/>
    </row>
    <row r="116" spans="2:4" x14ac:dyDescent="0.25">
      <c r="B116" s="1"/>
      <c r="D116" s="1"/>
    </row>
    <row r="117" spans="2:4" x14ac:dyDescent="0.25">
      <c r="B117" s="1"/>
      <c r="D117" s="1"/>
    </row>
    <row r="118" spans="2:4" x14ac:dyDescent="0.25">
      <c r="B118" s="1"/>
      <c r="D118" s="1"/>
    </row>
    <row r="119" spans="2:4" x14ac:dyDescent="0.25">
      <c r="B119" s="1"/>
      <c r="D119" s="1"/>
    </row>
    <row r="120" spans="2:4" x14ac:dyDescent="0.25">
      <c r="B120" s="1"/>
      <c r="D120" s="1"/>
    </row>
    <row r="121" spans="2:4" x14ac:dyDescent="0.25">
      <c r="B121" s="1"/>
      <c r="D121" s="1"/>
    </row>
    <row r="122" spans="2:4" x14ac:dyDescent="0.25">
      <c r="B122" s="1"/>
      <c r="D122" s="1"/>
    </row>
    <row r="123" spans="2:4" x14ac:dyDescent="0.25">
      <c r="B123" s="1"/>
      <c r="D123" s="1"/>
    </row>
    <row r="124" spans="2:4" x14ac:dyDescent="0.25">
      <c r="B124" s="1"/>
      <c r="D124" s="1"/>
    </row>
    <row r="125" spans="2:4" x14ac:dyDescent="0.25">
      <c r="B125" s="1"/>
      <c r="D125" s="1"/>
    </row>
    <row r="126" spans="2:4" x14ac:dyDescent="0.25">
      <c r="B126" s="1"/>
      <c r="D126" s="1"/>
    </row>
    <row r="127" spans="2:4" x14ac:dyDescent="0.25">
      <c r="B127" s="1"/>
      <c r="D127" s="1"/>
    </row>
    <row r="128" spans="2:4" x14ac:dyDescent="0.25">
      <c r="B128" s="1"/>
      <c r="D128" s="1"/>
    </row>
    <row r="129" spans="2:4" x14ac:dyDescent="0.25">
      <c r="B129" s="1"/>
      <c r="D129" s="1"/>
    </row>
    <row r="130" spans="2:4" x14ac:dyDescent="0.25">
      <c r="B130" s="1"/>
      <c r="D130" s="1"/>
    </row>
    <row r="131" spans="2:4" x14ac:dyDescent="0.25">
      <c r="B131" s="1"/>
      <c r="D131" s="1"/>
    </row>
    <row r="132" spans="2:4" x14ac:dyDescent="0.25">
      <c r="B132" s="1"/>
      <c r="D132" s="1"/>
    </row>
    <row r="133" spans="2:4" x14ac:dyDescent="0.25">
      <c r="B133" s="1"/>
      <c r="D133" s="1"/>
    </row>
    <row r="134" spans="2:4" x14ac:dyDescent="0.25">
      <c r="B134" s="1"/>
      <c r="D134" s="1"/>
    </row>
    <row r="135" spans="2:4" x14ac:dyDescent="0.25">
      <c r="B135" s="1"/>
      <c r="D135" s="1"/>
    </row>
    <row r="136" spans="2:4" x14ac:dyDescent="0.25">
      <c r="B136" s="1"/>
      <c r="D136" s="1"/>
    </row>
    <row r="137" spans="2:4" x14ac:dyDescent="0.25">
      <c r="B137" s="1"/>
      <c r="D137" s="1"/>
    </row>
    <row r="138" spans="2:4" x14ac:dyDescent="0.25">
      <c r="B138" s="1"/>
      <c r="D138" s="1"/>
    </row>
    <row r="139" spans="2:4" x14ac:dyDescent="0.25">
      <c r="B139" s="1"/>
      <c r="D139" s="1"/>
    </row>
    <row r="140" spans="2:4" x14ac:dyDescent="0.25">
      <c r="B140" s="1"/>
      <c r="D140" s="1"/>
    </row>
    <row r="141" spans="2:4" x14ac:dyDescent="0.25">
      <c r="B141" s="1"/>
      <c r="D141" s="1"/>
    </row>
    <row r="142" spans="2:4" x14ac:dyDescent="0.25">
      <c r="B142" s="1"/>
      <c r="D142" s="1"/>
    </row>
    <row r="143" spans="2:4" x14ac:dyDescent="0.25">
      <c r="B143" s="1"/>
      <c r="D143" s="1"/>
    </row>
    <row r="144" spans="2:4" x14ac:dyDescent="0.25">
      <c r="B144" s="1"/>
      <c r="D144" s="1"/>
    </row>
    <row r="145" spans="2:4" x14ac:dyDescent="0.25">
      <c r="B145" s="1"/>
      <c r="D145" s="1"/>
    </row>
    <row r="146" spans="2:4" x14ac:dyDescent="0.25">
      <c r="B146" s="1"/>
      <c r="D146" s="1"/>
    </row>
    <row r="147" spans="2:4" x14ac:dyDescent="0.25">
      <c r="B147" s="1"/>
      <c r="D147" s="1"/>
    </row>
    <row r="148" spans="2:4" x14ac:dyDescent="0.25">
      <c r="B148" s="1"/>
      <c r="D148" s="1"/>
    </row>
    <row r="149" spans="2:4" x14ac:dyDescent="0.25">
      <c r="B149" s="1"/>
      <c r="D149" s="1"/>
    </row>
    <row r="150" spans="2:4" x14ac:dyDescent="0.25">
      <c r="B150" s="1"/>
      <c r="D150" s="1"/>
    </row>
    <row r="151" spans="2:4" x14ac:dyDescent="0.25">
      <c r="B151" s="1"/>
      <c r="D151" s="1"/>
    </row>
    <row r="152" spans="2:4" x14ac:dyDescent="0.25">
      <c r="B152" s="1"/>
      <c r="D152" s="1"/>
    </row>
    <row r="153" spans="2:4" x14ac:dyDescent="0.25">
      <c r="B153" s="1"/>
      <c r="D153" s="1"/>
    </row>
    <row r="154" spans="2:4" x14ac:dyDescent="0.25">
      <c r="B154" s="1"/>
      <c r="D154" s="1"/>
    </row>
    <row r="155" spans="2:4" x14ac:dyDescent="0.25">
      <c r="B155" s="1"/>
      <c r="D155" s="1"/>
    </row>
    <row r="156" spans="2:4" x14ac:dyDescent="0.25">
      <c r="B156" s="1"/>
      <c r="D156" s="1"/>
    </row>
    <row r="157" spans="2:4" x14ac:dyDescent="0.25">
      <c r="B157" s="1"/>
      <c r="D157" s="1"/>
    </row>
    <row r="158" spans="2:4" x14ac:dyDescent="0.25">
      <c r="B158" s="1"/>
      <c r="D158" s="1"/>
    </row>
    <row r="159" spans="2:4" x14ac:dyDescent="0.25">
      <c r="B159" s="1"/>
      <c r="D159" s="1"/>
    </row>
    <row r="160" spans="2:4" x14ac:dyDescent="0.25">
      <c r="B160" s="1"/>
      <c r="D160" s="1"/>
    </row>
    <row r="161" spans="2:4" x14ac:dyDescent="0.25">
      <c r="B161" s="1"/>
      <c r="D161" s="1"/>
    </row>
    <row r="162" spans="2:4" x14ac:dyDescent="0.25">
      <c r="B162" s="1"/>
      <c r="D162" s="1"/>
    </row>
    <row r="163" spans="2:4" x14ac:dyDescent="0.25">
      <c r="B163" s="1"/>
      <c r="D163" s="1"/>
    </row>
    <row r="164" spans="2:4" x14ac:dyDescent="0.25">
      <c r="B164" s="1"/>
      <c r="D164" s="1"/>
    </row>
    <row r="165" spans="2:4" x14ac:dyDescent="0.25">
      <c r="B165" s="1"/>
      <c r="D165" s="1"/>
    </row>
    <row r="166" spans="2:4" x14ac:dyDescent="0.25">
      <c r="B166" s="1"/>
      <c r="D166" s="1"/>
    </row>
    <row r="167" spans="2:4" x14ac:dyDescent="0.25">
      <c r="B167" s="1"/>
      <c r="D167" s="1"/>
    </row>
    <row r="168" spans="2:4" x14ac:dyDescent="0.25">
      <c r="B168" s="1"/>
      <c r="D168" s="1"/>
    </row>
    <row r="169" spans="2:4" x14ac:dyDescent="0.25">
      <c r="B169" s="1"/>
      <c r="D169" s="1"/>
    </row>
    <row r="170" spans="2:4" x14ac:dyDescent="0.25">
      <c r="B170" s="1"/>
      <c r="D170" s="1"/>
    </row>
    <row r="171" spans="2:4" x14ac:dyDescent="0.25">
      <c r="B171" s="1"/>
      <c r="D171" s="1"/>
    </row>
    <row r="172" spans="2:4" x14ac:dyDescent="0.25">
      <c r="B172" s="1"/>
      <c r="D172" s="1"/>
    </row>
    <row r="173" spans="2:4" x14ac:dyDescent="0.25">
      <c r="B173" s="1"/>
      <c r="D173" s="1"/>
    </row>
    <row r="174" spans="2:4" x14ac:dyDescent="0.25">
      <c r="B174" s="1"/>
      <c r="D174" s="1"/>
    </row>
    <row r="175" spans="2:4" x14ac:dyDescent="0.25">
      <c r="B175" s="1"/>
      <c r="D175" s="1"/>
    </row>
    <row r="176" spans="2:4" x14ac:dyDescent="0.25">
      <c r="B176" s="1"/>
      <c r="D176" s="1"/>
    </row>
    <row r="177" spans="2:4" x14ac:dyDescent="0.25">
      <c r="B177" s="1"/>
      <c r="D177" s="1"/>
    </row>
    <row r="178" spans="2:4" x14ac:dyDescent="0.25">
      <c r="B178" s="1"/>
      <c r="D178" s="1"/>
    </row>
    <row r="179" spans="2:4" x14ac:dyDescent="0.25">
      <c r="B179" s="1"/>
      <c r="D179" s="1"/>
    </row>
    <row r="180" spans="2:4" x14ac:dyDescent="0.25">
      <c r="B180" s="1"/>
      <c r="D180" s="1"/>
    </row>
    <row r="181" spans="2:4" x14ac:dyDescent="0.25">
      <c r="B181" s="1"/>
      <c r="D181" s="1"/>
    </row>
    <row r="182" spans="2:4" x14ac:dyDescent="0.25">
      <c r="B182" s="1"/>
      <c r="D182" s="1"/>
    </row>
    <row r="183" spans="2:4" x14ac:dyDescent="0.25">
      <c r="B183" s="1"/>
      <c r="D183" s="1"/>
    </row>
    <row r="184" spans="2:4" x14ac:dyDescent="0.25">
      <c r="B184" s="1"/>
      <c r="D184" s="1"/>
    </row>
    <row r="185" spans="2:4" x14ac:dyDescent="0.25">
      <c r="B185" s="1"/>
      <c r="D185" s="1"/>
    </row>
    <row r="186" spans="2:4" x14ac:dyDescent="0.25">
      <c r="B186" s="1"/>
      <c r="D186" s="1"/>
    </row>
    <row r="187" spans="2:4" x14ac:dyDescent="0.25">
      <c r="B187" s="1"/>
      <c r="D187" s="1"/>
    </row>
    <row r="188" spans="2:4" x14ac:dyDescent="0.25">
      <c r="B188" s="1"/>
      <c r="D188" s="1"/>
    </row>
    <row r="189" spans="2:4" x14ac:dyDescent="0.25">
      <c r="B189" s="1"/>
      <c r="D189" s="1"/>
    </row>
    <row r="190" spans="2:4" x14ac:dyDescent="0.25">
      <c r="B190" s="1"/>
      <c r="D190" s="1"/>
    </row>
    <row r="191" spans="2:4" x14ac:dyDescent="0.25">
      <c r="B191" s="1"/>
      <c r="D191" s="1"/>
    </row>
    <row r="192" spans="2:4" x14ac:dyDescent="0.25">
      <c r="B192" s="1"/>
      <c r="D192" s="1"/>
    </row>
    <row r="193" spans="2:4" x14ac:dyDescent="0.25">
      <c r="B193" s="1"/>
      <c r="D193" s="1"/>
    </row>
    <row r="194" spans="2:4" x14ac:dyDescent="0.25">
      <c r="B194" s="1"/>
      <c r="D194" s="1"/>
    </row>
    <row r="195" spans="2:4" x14ac:dyDescent="0.25">
      <c r="B195" s="1"/>
      <c r="D195" s="1"/>
    </row>
    <row r="196" spans="2:4" x14ac:dyDescent="0.25">
      <c r="B196" s="1"/>
      <c r="D196" s="1"/>
    </row>
    <row r="197" spans="2:4" x14ac:dyDescent="0.25">
      <c r="B197" s="1"/>
      <c r="D197" s="1"/>
    </row>
    <row r="198" spans="2:4" x14ac:dyDescent="0.25">
      <c r="B198" s="1"/>
      <c r="D198" s="1"/>
    </row>
    <row r="199" spans="2:4" x14ac:dyDescent="0.25">
      <c r="B199" s="1"/>
      <c r="D199" s="1"/>
    </row>
    <row r="200" spans="2:4" x14ac:dyDescent="0.25">
      <c r="B200" s="1"/>
      <c r="D200" s="1"/>
    </row>
    <row r="201" spans="2:4" x14ac:dyDescent="0.25">
      <c r="B201" s="1"/>
      <c r="D201" s="1"/>
    </row>
    <row r="202" spans="2:4" x14ac:dyDescent="0.25">
      <c r="B202" s="1"/>
      <c r="D202" s="1"/>
    </row>
    <row r="203" spans="2:4" x14ac:dyDescent="0.25">
      <c r="B203" s="1"/>
      <c r="D203" s="1"/>
    </row>
    <row r="204" spans="2:4" x14ac:dyDescent="0.25">
      <c r="B204" s="1"/>
      <c r="D204" s="1"/>
    </row>
    <row r="205" spans="2:4" x14ac:dyDescent="0.25">
      <c r="B205" s="1"/>
      <c r="D205" s="1"/>
    </row>
    <row r="206" spans="2:4" x14ac:dyDescent="0.25">
      <c r="B206" s="1"/>
      <c r="D206" s="1"/>
    </row>
    <row r="207" spans="2:4" x14ac:dyDescent="0.25">
      <c r="B207" s="1"/>
      <c r="D207" s="1"/>
    </row>
    <row r="208" spans="2:4" x14ac:dyDescent="0.25">
      <c r="B208" s="1"/>
      <c r="D208" s="1"/>
    </row>
    <row r="209" spans="2:4" x14ac:dyDescent="0.25">
      <c r="B209" s="1"/>
      <c r="D209" s="1"/>
    </row>
    <row r="210" spans="2:4" x14ac:dyDescent="0.25">
      <c r="B210" s="1"/>
      <c r="D210" s="1"/>
    </row>
    <row r="211" spans="2:4" x14ac:dyDescent="0.25">
      <c r="B211" s="1"/>
      <c r="D211" s="1"/>
    </row>
    <row r="212" spans="2:4" x14ac:dyDescent="0.25">
      <c r="B212" s="1"/>
      <c r="D212" s="1"/>
    </row>
    <row r="213" spans="2:4" x14ac:dyDescent="0.25">
      <c r="B213" s="1"/>
      <c r="D213" s="1"/>
    </row>
    <row r="214" spans="2:4" x14ac:dyDescent="0.25">
      <c r="B214" s="1"/>
      <c r="D214" s="1"/>
    </row>
    <row r="215" spans="2:4" x14ac:dyDescent="0.25">
      <c r="B215" s="1"/>
      <c r="D215" s="1"/>
    </row>
    <row r="216" spans="2:4" x14ac:dyDescent="0.25">
      <c r="B216" s="1"/>
      <c r="D216" s="1"/>
    </row>
    <row r="217" spans="2:4" x14ac:dyDescent="0.25">
      <c r="B217" s="1"/>
      <c r="D217" s="1"/>
    </row>
    <row r="218" spans="2:4" x14ac:dyDescent="0.25">
      <c r="B218" s="1"/>
      <c r="D218" s="1"/>
    </row>
    <row r="219" spans="2:4" x14ac:dyDescent="0.25">
      <c r="B219" s="1"/>
      <c r="D219" s="1"/>
    </row>
    <row r="220" spans="2:4" x14ac:dyDescent="0.25">
      <c r="B220" s="1"/>
      <c r="D220" s="1"/>
    </row>
    <row r="221" spans="2:4" x14ac:dyDescent="0.25">
      <c r="B221" s="1"/>
      <c r="D221" s="1"/>
    </row>
    <row r="222" spans="2:4" x14ac:dyDescent="0.25">
      <c r="B222" s="1"/>
      <c r="D222" s="1"/>
    </row>
    <row r="223" spans="2:4" x14ac:dyDescent="0.25">
      <c r="B223" s="1"/>
      <c r="D223" s="1"/>
    </row>
    <row r="224" spans="2:4" x14ac:dyDescent="0.25">
      <c r="B224" s="1"/>
      <c r="D224" s="1"/>
    </row>
    <row r="225" spans="2:4" x14ac:dyDescent="0.25">
      <c r="B225" s="1"/>
      <c r="D225" s="1"/>
    </row>
    <row r="226" spans="2:4" x14ac:dyDescent="0.25">
      <c r="B226" s="1"/>
      <c r="D226" s="1"/>
    </row>
    <row r="227" spans="2:4" x14ac:dyDescent="0.25">
      <c r="B227" s="1"/>
      <c r="D227" s="1"/>
    </row>
    <row r="228" spans="2:4" x14ac:dyDescent="0.25">
      <c r="B228" s="1"/>
      <c r="D228" s="1"/>
    </row>
    <row r="229" spans="2:4" x14ac:dyDescent="0.25">
      <c r="B229" s="1"/>
      <c r="D229" s="1"/>
    </row>
    <row r="230" spans="2:4" x14ac:dyDescent="0.25">
      <c r="B230" s="1"/>
      <c r="D230" s="1"/>
    </row>
    <row r="231" spans="2:4" x14ac:dyDescent="0.25">
      <c r="B231" s="1"/>
      <c r="D231" s="1"/>
    </row>
    <row r="232" spans="2:4" x14ac:dyDescent="0.25">
      <c r="B232" s="1"/>
      <c r="D232" s="1"/>
    </row>
    <row r="233" spans="2:4" x14ac:dyDescent="0.25">
      <c r="B233" s="1"/>
      <c r="D233" s="1"/>
    </row>
    <row r="234" spans="2:4" x14ac:dyDescent="0.25">
      <c r="B234" s="1"/>
      <c r="D234" s="1"/>
    </row>
    <row r="235" spans="2:4" x14ac:dyDescent="0.25">
      <c r="B235" s="1"/>
      <c r="D235" s="1"/>
    </row>
    <row r="236" spans="2:4" x14ac:dyDescent="0.25">
      <c r="B236" s="1"/>
      <c r="D236" s="1"/>
    </row>
    <row r="237" spans="2:4" x14ac:dyDescent="0.25">
      <c r="B237" s="1"/>
      <c r="D237" s="1"/>
    </row>
    <row r="238" spans="2:4" x14ac:dyDescent="0.25">
      <c r="B238" s="1"/>
      <c r="D238" s="1"/>
    </row>
    <row r="239" spans="2:4" x14ac:dyDescent="0.25">
      <c r="B239" s="1"/>
      <c r="D239" s="1"/>
    </row>
    <row r="240" spans="2:4" x14ac:dyDescent="0.25">
      <c r="B240" s="1"/>
      <c r="D240" s="1"/>
    </row>
    <row r="241" spans="2:4" x14ac:dyDescent="0.25">
      <c r="B241" s="1"/>
      <c r="D241" s="1"/>
    </row>
    <row r="242" spans="2:4" x14ac:dyDescent="0.25">
      <c r="B242" s="1"/>
      <c r="D242" s="1"/>
    </row>
    <row r="243" spans="2:4" x14ac:dyDescent="0.25">
      <c r="B243" s="1"/>
      <c r="D243" s="1"/>
    </row>
    <row r="244" spans="2:4" x14ac:dyDescent="0.25">
      <c r="B244" s="1"/>
      <c r="D244" s="1"/>
    </row>
    <row r="245" spans="2:4" x14ac:dyDescent="0.25">
      <c r="B245" s="1"/>
      <c r="D245" s="1"/>
    </row>
    <row r="246" spans="2:4" x14ac:dyDescent="0.25">
      <c r="B246" s="1"/>
      <c r="D246" s="1"/>
    </row>
    <row r="247" spans="2:4" x14ac:dyDescent="0.25">
      <c r="B247" s="1"/>
      <c r="D247" s="1"/>
    </row>
    <row r="248" spans="2:4" x14ac:dyDescent="0.25">
      <c r="B248" s="1"/>
      <c r="D248" s="1"/>
    </row>
    <row r="249" spans="2:4" x14ac:dyDescent="0.25">
      <c r="B249" s="1"/>
      <c r="D249" s="1"/>
    </row>
    <row r="250" spans="2:4" x14ac:dyDescent="0.25">
      <c r="B250" s="1"/>
      <c r="D250" s="1"/>
    </row>
    <row r="251" spans="2:4" x14ac:dyDescent="0.25">
      <c r="B251" s="1"/>
      <c r="D251" s="1"/>
    </row>
    <row r="252" spans="2:4" x14ac:dyDescent="0.25">
      <c r="B252" s="1"/>
      <c r="D252" s="1"/>
    </row>
    <row r="253" spans="2:4" x14ac:dyDescent="0.25">
      <c r="B253" s="1"/>
      <c r="D253" s="1"/>
    </row>
    <row r="254" spans="2:4" x14ac:dyDescent="0.25">
      <c r="B254" s="1"/>
      <c r="D254" s="1"/>
    </row>
    <row r="255" spans="2:4" x14ac:dyDescent="0.25">
      <c r="B255" s="1"/>
      <c r="D255" s="1"/>
    </row>
    <row r="256" spans="2:4" x14ac:dyDescent="0.25">
      <c r="B256" s="1"/>
      <c r="D256" s="1"/>
    </row>
    <row r="257" spans="2:4" x14ac:dyDescent="0.25">
      <c r="B257" s="1"/>
      <c r="D257" s="1"/>
    </row>
    <row r="258" spans="2:4" x14ac:dyDescent="0.25">
      <c r="B258" s="1"/>
      <c r="D258" s="1"/>
    </row>
    <row r="259" spans="2:4" x14ac:dyDescent="0.25">
      <c r="B259" s="1"/>
      <c r="D259" s="1"/>
    </row>
    <row r="260" spans="2:4" x14ac:dyDescent="0.25">
      <c r="B260" s="1"/>
      <c r="D260" s="1"/>
    </row>
    <row r="261" spans="2:4" x14ac:dyDescent="0.25">
      <c r="B261" s="1"/>
      <c r="D261" s="1"/>
    </row>
    <row r="262" spans="2:4" x14ac:dyDescent="0.25">
      <c r="B262" s="1"/>
      <c r="D262" s="1"/>
    </row>
    <row r="263" spans="2:4" x14ac:dyDescent="0.25">
      <c r="B263" s="1"/>
      <c r="D263" s="1"/>
    </row>
    <row r="264" spans="2:4" x14ac:dyDescent="0.25">
      <c r="B264" s="1"/>
      <c r="D264" s="1"/>
    </row>
    <row r="265" spans="2:4" x14ac:dyDescent="0.25">
      <c r="B265" s="1"/>
      <c r="D265" s="1"/>
    </row>
    <row r="266" spans="2:4" x14ac:dyDescent="0.25">
      <c r="B266" s="1"/>
      <c r="D266" s="1"/>
    </row>
    <row r="267" spans="2:4" x14ac:dyDescent="0.25">
      <c r="B267" s="1"/>
      <c r="D267" s="1"/>
    </row>
    <row r="268" spans="2:4" x14ac:dyDescent="0.25">
      <c r="B268" s="1"/>
      <c r="D268" s="1"/>
    </row>
    <row r="269" spans="2:4" x14ac:dyDescent="0.25">
      <c r="B269" s="1"/>
      <c r="D269" s="1"/>
    </row>
    <row r="270" spans="2:4" x14ac:dyDescent="0.25">
      <c r="B270" s="1"/>
      <c r="D270" s="1"/>
    </row>
    <row r="271" spans="2:4" x14ac:dyDescent="0.25">
      <c r="B271" s="1"/>
      <c r="D271" s="1"/>
    </row>
    <row r="272" spans="2:4" x14ac:dyDescent="0.25">
      <c r="B272" s="1"/>
      <c r="D272" s="1"/>
    </row>
    <row r="273" spans="2:4" x14ac:dyDescent="0.25">
      <c r="B273" s="1"/>
      <c r="D273" s="1"/>
    </row>
    <row r="274" spans="2:4" x14ac:dyDescent="0.25">
      <c r="B274" s="1"/>
      <c r="D274" s="1"/>
    </row>
    <row r="275" spans="2:4" x14ac:dyDescent="0.25">
      <c r="B275" s="1"/>
      <c r="D275" s="1"/>
    </row>
    <row r="276" spans="2:4" x14ac:dyDescent="0.25">
      <c r="B276" s="1"/>
      <c r="D276" s="1"/>
    </row>
    <row r="277" spans="2:4" x14ac:dyDescent="0.25">
      <c r="B277" s="1"/>
      <c r="D277" s="1"/>
    </row>
    <row r="278" spans="2:4" x14ac:dyDescent="0.25">
      <c r="B278" s="1"/>
      <c r="D278" s="1"/>
    </row>
    <row r="279" spans="2:4" x14ac:dyDescent="0.25">
      <c r="B279" s="1"/>
      <c r="D279" s="1"/>
    </row>
    <row r="280" spans="2:4" x14ac:dyDescent="0.25">
      <c r="B280" s="1"/>
      <c r="D280" s="1"/>
    </row>
    <row r="281" spans="2:4" x14ac:dyDescent="0.25">
      <c r="B281" s="1"/>
      <c r="D281" s="1"/>
    </row>
    <row r="282" spans="2:4" x14ac:dyDescent="0.25">
      <c r="B282" s="1"/>
      <c r="D282" s="1"/>
    </row>
    <row r="283" spans="2:4" x14ac:dyDescent="0.25">
      <c r="B283" s="1"/>
      <c r="D283" s="1"/>
    </row>
    <row r="284" spans="2:4" x14ac:dyDescent="0.25">
      <c r="B284" s="1"/>
      <c r="D284" s="1"/>
    </row>
    <row r="285" spans="2:4" x14ac:dyDescent="0.25">
      <c r="B285" s="1"/>
      <c r="D285" s="1"/>
    </row>
    <row r="286" spans="2:4" x14ac:dyDescent="0.25">
      <c r="B286" s="1"/>
      <c r="D286" s="1"/>
    </row>
    <row r="287" spans="2:4" x14ac:dyDescent="0.25">
      <c r="B287" s="1"/>
      <c r="D287" s="1"/>
    </row>
    <row r="288" spans="2:4" x14ac:dyDescent="0.25">
      <c r="B288" s="1"/>
      <c r="D288" s="1"/>
    </row>
    <row r="289" spans="2:4" x14ac:dyDescent="0.25">
      <c r="B289" s="1"/>
      <c r="D289" s="1"/>
    </row>
    <row r="290" spans="2:4" x14ac:dyDescent="0.25">
      <c r="B290" s="1"/>
      <c r="D290" s="1"/>
    </row>
    <row r="291" spans="2:4" x14ac:dyDescent="0.25">
      <c r="B291" s="1"/>
      <c r="D291" s="1"/>
    </row>
    <row r="292" spans="2:4" x14ac:dyDescent="0.25">
      <c r="B292" s="1"/>
      <c r="D292" s="1"/>
    </row>
    <row r="293" spans="2:4" x14ac:dyDescent="0.25">
      <c r="B293" s="1"/>
      <c r="D293" s="1"/>
    </row>
    <row r="294" spans="2:4" x14ac:dyDescent="0.25">
      <c r="B294" s="1"/>
      <c r="D294" s="1"/>
    </row>
    <row r="295" spans="2:4" x14ac:dyDescent="0.25">
      <c r="B295" s="1"/>
      <c r="D295" s="1"/>
    </row>
    <row r="296" spans="2:4" x14ac:dyDescent="0.25">
      <c r="B296" s="1"/>
      <c r="D296" s="1"/>
    </row>
    <row r="297" spans="2:4" x14ac:dyDescent="0.25">
      <c r="B297" s="1"/>
      <c r="D297" s="1"/>
    </row>
    <row r="298" spans="2:4" x14ac:dyDescent="0.25">
      <c r="B298" s="1"/>
      <c r="D298" s="1"/>
    </row>
    <row r="299" spans="2:4" x14ac:dyDescent="0.25">
      <c r="B299" s="1"/>
      <c r="D299" s="1"/>
    </row>
    <row r="300" spans="2:4" x14ac:dyDescent="0.25">
      <c r="B300" s="1"/>
      <c r="D300" s="1"/>
    </row>
    <row r="301" spans="2:4" x14ac:dyDescent="0.25">
      <c r="B301" s="1"/>
      <c r="D301" s="1"/>
    </row>
    <row r="302" spans="2:4" x14ac:dyDescent="0.25">
      <c r="B302" s="1"/>
      <c r="D302" s="1"/>
    </row>
    <row r="303" spans="2:4" x14ac:dyDescent="0.25">
      <c r="B303" s="1"/>
      <c r="D303" s="1"/>
    </row>
    <row r="304" spans="2:4" x14ac:dyDescent="0.25">
      <c r="B304" s="1"/>
      <c r="D304" s="1"/>
    </row>
    <row r="305" spans="2:4" x14ac:dyDescent="0.25">
      <c r="B305" s="1"/>
      <c r="D305" s="1"/>
    </row>
    <row r="306" spans="2:4" x14ac:dyDescent="0.25">
      <c r="B306" s="1"/>
      <c r="D306" s="1"/>
    </row>
    <row r="307" spans="2:4" x14ac:dyDescent="0.25">
      <c r="B307" s="1"/>
      <c r="D307" s="1"/>
    </row>
    <row r="308" spans="2:4" x14ac:dyDescent="0.25">
      <c r="B308" s="1"/>
      <c r="D308" s="1"/>
    </row>
    <row r="309" spans="2:4" x14ac:dyDescent="0.25">
      <c r="B309" s="1"/>
      <c r="D309" s="1"/>
    </row>
    <row r="310" spans="2:4" x14ac:dyDescent="0.25">
      <c r="B310" s="1"/>
      <c r="D310" s="1"/>
    </row>
    <row r="311" spans="2:4" x14ac:dyDescent="0.25">
      <c r="B311" s="1"/>
      <c r="D311" s="1"/>
    </row>
    <row r="312" spans="2:4" x14ac:dyDescent="0.25">
      <c r="B312" s="1"/>
      <c r="D312" s="1"/>
    </row>
    <row r="313" spans="2:4" x14ac:dyDescent="0.25">
      <c r="B313" s="1"/>
      <c r="D313" s="1"/>
    </row>
    <row r="314" spans="2:4" x14ac:dyDescent="0.25">
      <c r="B314" s="1"/>
      <c r="D314" s="1"/>
    </row>
    <row r="315" spans="2:4" x14ac:dyDescent="0.25">
      <c r="B315" s="1"/>
      <c r="D315" s="1"/>
    </row>
    <row r="316" spans="2:4" x14ac:dyDescent="0.25">
      <c r="B316" s="1"/>
      <c r="D316" s="1"/>
    </row>
    <row r="317" spans="2:4" x14ac:dyDescent="0.25">
      <c r="B317" s="1"/>
      <c r="D317" s="1"/>
    </row>
    <row r="318" spans="2:4" x14ac:dyDescent="0.25">
      <c r="B318" s="1"/>
      <c r="D318" s="1"/>
    </row>
    <row r="319" spans="2:4" x14ac:dyDescent="0.25">
      <c r="B319" s="1"/>
      <c r="D319" s="1"/>
    </row>
    <row r="320" spans="2:4" x14ac:dyDescent="0.25">
      <c r="B320" s="1"/>
      <c r="D320" s="1"/>
    </row>
    <row r="321" spans="2:4" x14ac:dyDescent="0.25">
      <c r="B321" s="1"/>
      <c r="D321" s="1"/>
    </row>
    <row r="322" spans="2:4" x14ac:dyDescent="0.25">
      <c r="B322" s="1"/>
      <c r="D322" s="1"/>
    </row>
    <row r="323" spans="2:4" x14ac:dyDescent="0.25">
      <c r="B323" s="1"/>
      <c r="D323" s="1"/>
    </row>
    <row r="324" spans="2:4" x14ac:dyDescent="0.25">
      <c r="B324" s="1"/>
      <c r="D324" s="1"/>
    </row>
    <row r="325" spans="2:4" x14ac:dyDescent="0.25">
      <c r="B325" s="1"/>
      <c r="D325" s="1"/>
    </row>
    <row r="326" spans="2:4" x14ac:dyDescent="0.25">
      <c r="B326" s="1"/>
      <c r="D326" s="1"/>
    </row>
    <row r="327" spans="2:4" x14ac:dyDescent="0.25">
      <c r="B327" s="1"/>
      <c r="D327" s="1"/>
    </row>
    <row r="328" spans="2:4" x14ac:dyDescent="0.25">
      <c r="B328" s="1"/>
      <c r="D328" s="1"/>
    </row>
    <row r="329" spans="2:4" x14ac:dyDescent="0.25">
      <c r="B329" s="1"/>
      <c r="D329" s="1"/>
    </row>
    <row r="330" spans="2:4" x14ac:dyDescent="0.25">
      <c r="B330" s="1"/>
      <c r="D330" s="1"/>
    </row>
    <row r="331" spans="2:4" x14ac:dyDescent="0.25">
      <c r="B331" s="1"/>
      <c r="D331" s="1"/>
    </row>
    <row r="332" spans="2:4" x14ac:dyDescent="0.25">
      <c r="B332" s="1"/>
      <c r="D332" s="1"/>
    </row>
    <row r="333" spans="2:4" x14ac:dyDescent="0.25">
      <c r="B333" s="1"/>
      <c r="D333" s="1"/>
    </row>
    <row r="334" spans="2:4" x14ac:dyDescent="0.25">
      <c r="B334" s="1"/>
      <c r="D334" s="1"/>
    </row>
    <row r="335" spans="2:4" x14ac:dyDescent="0.25">
      <c r="B335" s="1"/>
      <c r="D335" s="1"/>
    </row>
    <row r="336" spans="2:4" x14ac:dyDescent="0.25">
      <c r="B336" s="1"/>
      <c r="D336" s="1"/>
    </row>
    <row r="337" spans="2:4" x14ac:dyDescent="0.25">
      <c r="B337" s="1"/>
      <c r="D337" s="1"/>
    </row>
    <row r="338" spans="2:4" x14ac:dyDescent="0.25">
      <c r="B338" s="1"/>
      <c r="D338" s="1"/>
    </row>
    <row r="339" spans="2:4" x14ac:dyDescent="0.25">
      <c r="B339" s="1"/>
      <c r="D339" s="1"/>
    </row>
    <row r="340" spans="2:4" x14ac:dyDescent="0.25">
      <c r="B340" s="1"/>
      <c r="D340" s="1"/>
    </row>
    <row r="341" spans="2:4" x14ac:dyDescent="0.25">
      <c r="B341" s="1"/>
      <c r="D341" s="1"/>
    </row>
    <row r="342" spans="2:4" x14ac:dyDescent="0.25">
      <c r="B342" s="1"/>
      <c r="D342" s="1"/>
    </row>
    <row r="343" spans="2:4" x14ac:dyDescent="0.25">
      <c r="B343" s="1"/>
      <c r="D343" s="1"/>
    </row>
    <row r="344" spans="2:4" x14ac:dyDescent="0.25">
      <c r="B344" s="1"/>
      <c r="D344" s="1"/>
    </row>
    <row r="345" spans="2:4" x14ac:dyDescent="0.25">
      <c r="B345" s="1"/>
      <c r="D345" s="1"/>
    </row>
    <row r="346" spans="2:4" x14ac:dyDescent="0.25">
      <c r="B346" s="1"/>
      <c r="D346" s="1"/>
    </row>
    <row r="347" spans="2:4" x14ac:dyDescent="0.25">
      <c r="B347" s="1"/>
      <c r="D347" s="1"/>
    </row>
    <row r="348" spans="2:4" x14ac:dyDescent="0.25">
      <c r="B348" s="1"/>
      <c r="D348" s="1"/>
    </row>
    <row r="349" spans="2:4" x14ac:dyDescent="0.25">
      <c r="B349" s="1"/>
      <c r="D349" s="1"/>
    </row>
    <row r="350" spans="2:4" x14ac:dyDescent="0.25">
      <c r="B350" s="1"/>
      <c r="D350" s="1"/>
    </row>
    <row r="351" spans="2:4" x14ac:dyDescent="0.25">
      <c r="B351" s="1"/>
      <c r="D351" s="1"/>
    </row>
    <row r="352" spans="2:4" x14ac:dyDescent="0.25">
      <c r="B352" s="1"/>
      <c r="D352" s="1"/>
    </row>
    <row r="353" spans="2:4" x14ac:dyDescent="0.25">
      <c r="B353" s="1"/>
      <c r="D353" s="1"/>
    </row>
    <row r="354" spans="2:4" x14ac:dyDescent="0.25">
      <c r="B354" s="1"/>
      <c r="D354" s="1"/>
    </row>
    <row r="355" spans="2:4" x14ac:dyDescent="0.25">
      <c r="B355" s="1"/>
      <c r="D355" s="1"/>
    </row>
    <row r="356" spans="2:4" x14ac:dyDescent="0.25">
      <c r="B356" s="1"/>
      <c r="D356" s="1"/>
    </row>
    <row r="357" spans="2:4" x14ac:dyDescent="0.25">
      <c r="B357" s="1"/>
      <c r="D357" s="1"/>
    </row>
    <row r="358" spans="2:4" x14ac:dyDescent="0.25">
      <c r="B358" s="1"/>
      <c r="D358" s="1"/>
    </row>
    <row r="359" spans="2:4" x14ac:dyDescent="0.25">
      <c r="B359" s="1"/>
      <c r="D359" s="1"/>
    </row>
    <row r="360" spans="2:4" x14ac:dyDescent="0.25">
      <c r="B360" s="1"/>
      <c r="D360" s="1"/>
    </row>
    <row r="361" spans="2:4" x14ac:dyDescent="0.25">
      <c r="B361" s="1"/>
      <c r="D361" s="1"/>
    </row>
    <row r="362" spans="2:4" x14ac:dyDescent="0.25">
      <c r="B362" s="1"/>
      <c r="D362" s="1"/>
    </row>
    <row r="363" spans="2:4" x14ac:dyDescent="0.25">
      <c r="B363" s="1"/>
      <c r="D363" s="1"/>
    </row>
    <row r="364" spans="2:4" x14ac:dyDescent="0.25">
      <c r="B364" s="1"/>
      <c r="D364" s="1"/>
    </row>
    <row r="365" spans="2:4" x14ac:dyDescent="0.25">
      <c r="B365" s="1"/>
      <c r="D365" s="1"/>
    </row>
    <row r="366" spans="2:4" x14ac:dyDescent="0.25">
      <c r="B366" s="1"/>
      <c r="D366" s="1"/>
    </row>
    <row r="367" spans="2:4" x14ac:dyDescent="0.25">
      <c r="B367" s="1"/>
      <c r="D367" s="1"/>
    </row>
    <row r="368" spans="2:4" x14ac:dyDescent="0.25">
      <c r="B368" s="1"/>
      <c r="D368" s="1"/>
    </row>
    <row r="369" spans="2:4" x14ac:dyDescent="0.25">
      <c r="B369" s="1"/>
      <c r="D369" s="1"/>
    </row>
    <row r="370" spans="2:4" x14ac:dyDescent="0.25">
      <c r="B370" s="1"/>
      <c r="D370" s="1"/>
    </row>
    <row r="371" spans="2:4" x14ac:dyDescent="0.25">
      <c r="B371" s="1"/>
      <c r="D371" s="1"/>
    </row>
    <row r="372" spans="2:4" x14ac:dyDescent="0.25">
      <c r="B372" s="1"/>
      <c r="D372" s="1"/>
    </row>
    <row r="373" spans="2:4" x14ac:dyDescent="0.25">
      <c r="B373" s="1"/>
      <c r="D373" s="1"/>
    </row>
    <row r="374" spans="2:4" x14ac:dyDescent="0.25">
      <c r="B374" s="1"/>
      <c r="D374" s="1"/>
    </row>
    <row r="375" spans="2:4" x14ac:dyDescent="0.25">
      <c r="B375" s="1"/>
      <c r="D375" s="1"/>
    </row>
    <row r="376" spans="2:4" x14ac:dyDescent="0.25">
      <c r="B376" s="1"/>
      <c r="D376" s="1"/>
    </row>
    <row r="377" spans="2:4" x14ac:dyDescent="0.25">
      <c r="B377" s="1"/>
      <c r="D377" s="1"/>
    </row>
    <row r="378" spans="2:4" x14ac:dyDescent="0.25">
      <c r="B378" s="1"/>
      <c r="D378" s="1"/>
    </row>
    <row r="379" spans="2:4" x14ac:dyDescent="0.25">
      <c r="B379" s="1"/>
      <c r="D379" s="1"/>
    </row>
    <row r="380" spans="2:4" x14ac:dyDescent="0.25">
      <c r="B380" s="1"/>
      <c r="D380" s="1"/>
    </row>
    <row r="381" spans="2:4" x14ac:dyDescent="0.25">
      <c r="B381" s="1"/>
      <c r="D381" s="1"/>
    </row>
    <row r="382" spans="2:4" x14ac:dyDescent="0.25">
      <c r="B382" s="1"/>
      <c r="D382" s="1"/>
    </row>
    <row r="383" spans="2:4" x14ac:dyDescent="0.25">
      <c r="B383" s="1"/>
      <c r="D383" s="1"/>
    </row>
    <row r="384" spans="2:4" x14ac:dyDescent="0.25">
      <c r="B384" s="1"/>
      <c r="D384" s="1"/>
    </row>
    <row r="385" spans="2:4" x14ac:dyDescent="0.25">
      <c r="B385" s="1"/>
      <c r="D385" s="1"/>
    </row>
    <row r="386" spans="2:4" x14ac:dyDescent="0.25">
      <c r="B386" s="1"/>
      <c r="D386" s="1"/>
    </row>
    <row r="387" spans="2:4" x14ac:dyDescent="0.25">
      <c r="B387" s="1"/>
      <c r="D387" s="1"/>
    </row>
    <row r="388" spans="2:4" x14ac:dyDescent="0.25">
      <c r="B388" s="1"/>
      <c r="D388" s="1"/>
    </row>
    <row r="389" spans="2:4" x14ac:dyDescent="0.25">
      <c r="B389" s="1"/>
      <c r="D389" s="1"/>
    </row>
    <row r="390" spans="2:4" x14ac:dyDescent="0.25">
      <c r="B390" s="1"/>
      <c r="D390" s="1"/>
    </row>
    <row r="391" spans="2:4" x14ac:dyDescent="0.25">
      <c r="B391" s="1"/>
      <c r="D391" s="1"/>
    </row>
    <row r="392" spans="2:4" x14ac:dyDescent="0.25">
      <c r="B392" s="1"/>
      <c r="D392" s="1"/>
    </row>
    <row r="393" spans="2:4" x14ac:dyDescent="0.25">
      <c r="B393" s="1"/>
      <c r="D393" s="1"/>
    </row>
    <row r="394" spans="2:4" x14ac:dyDescent="0.25">
      <c r="B394" s="1"/>
      <c r="D394" s="1"/>
    </row>
    <row r="395" spans="2:4" x14ac:dyDescent="0.25">
      <c r="B395" s="1"/>
      <c r="D395" s="1"/>
    </row>
    <row r="396" spans="2:4" x14ac:dyDescent="0.25">
      <c r="B396" s="1"/>
      <c r="D396" s="1"/>
    </row>
    <row r="397" spans="2:4" x14ac:dyDescent="0.25">
      <c r="B397" s="1"/>
      <c r="D397" s="1"/>
    </row>
    <row r="398" spans="2:4" x14ac:dyDescent="0.25">
      <c r="B398" s="1"/>
      <c r="D398" s="1"/>
    </row>
    <row r="399" spans="2:4" x14ac:dyDescent="0.25">
      <c r="B399" s="1"/>
      <c r="D399" s="1"/>
    </row>
    <row r="400" spans="2:4" x14ac:dyDescent="0.25">
      <c r="B400" s="1"/>
      <c r="D400" s="1"/>
    </row>
    <row r="401" spans="2:4" x14ac:dyDescent="0.25">
      <c r="B401" s="1"/>
      <c r="D401" s="1"/>
    </row>
    <row r="402" spans="2:4" x14ac:dyDescent="0.25">
      <c r="B402" s="1"/>
      <c r="D402" s="1"/>
    </row>
    <row r="403" spans="2:4" x14ac:dyDescent="0.25">
      <c r="B403" s="1"/>
      <c r="D403" s="1"/>
    </row>
    <row r="404" spans="2:4" x14ac:dyDescent="0.25">
      <c r="B404" s="1"/>
      <c r="D404" s="1"/>
    </row>
    <row r="405" spans="2:4" x14ac:dyDescent="0.25">
      <c r="B405" s="1"/>
      <c r="D405" s="1"/>
    </row>
    <row r="406" spans="2:4" x14ac:dyDescent="0.25">
      <c r="B406" s="1"/>
      <c r="D406" s="1"/>
    </row>
    <row r="407" spans="2:4" x14ac:dyDescent="0.25">
      <c r="B407" s="1"/>
      <c r="D407" s="1"/>
    </row>
    <row r="408" spans="2:4" x14ac:dyDescent="0.25">
      <c r="B408" s="1"/>
      <c r="D408" s="1"/>
    </row>
    <row r="409" spans="2:4" x14ac:dyDescent="0.25">
      <c r="B409" s="1"/>
      <c r="D409" s="1"/>
    </row>
    <row r="410" spans="2:4" x14ac:dyDescent="0.25">
      <c r="B410" s="1"/>
      <c r="D410" s="1"/>
    </row>
    <row r="411" spans="2:4" x14ac:dyDescent="0.25">
      <c r="B411" s="1"/>
      <c r="D411" s="1"/>
    </row>
    <row r="412" spans="2:4" x14ac:dyDescent="0.25">
      <c r="B412" s="1"/>
      <c r="D412" s="1"/>
    </row>
    <row r="413" spans="2:4" x14ac:dyDescent="0.25">
      <c r="B413" s="1"/>
      <c r="D413" s="1"/>
    </row>
    <row r="414" spans="2:4" x14ac:dyDescent="0.25">
      <c r="B414" s="1"/>
      <c r="D414" s="1"/>
    </row>
    <row r="415" spans="2:4" x14ac:dyDescent="0.25">
      <c r="B415" s="1"/>
      <c r="D415" s="1"/>
    </row>
    <row r="416" spans="2:4" x14ac:dyDescent="0.25">
      <c r="B416" s="1"/>
      <c r="D416" s="1"/>
    </row>
    <row r="417" spans="2:4" x14ac:dyDescent="0.25">
      <c r="B417" s="1"/>
      <c r="D417" s="1"/>
    </row>
    <row r="418" spans="2:4" x14ac:dyDescent="0.25">
      <c r="B418" s="1"/>
      <c r="D418" s="1"/>
    </row>
    <row r="419" spans="2:4" x14ac:dyDescent="0.25">
      <c r="B419" s="1"/>
      <c r="D419" s="1"/>
    </row>
    <row r="420" spans="2:4" x14ac:dyDescent="0.25">
      <c r="B420" s="1"/>
      <c r="D420" s="1"/>
    </row>
    <row r="421" spans="2:4" x14ac:dyDescent="0.25">
      <c r="B421" s="1"/>
      <c r="D421" s="1"/>
    </row>
    <row r="422" spans="2:4" x14ac:dyDescent="0.25">
      <c r="B422" s="1"/>
      <c r="D422" s="1"/>
    </row>
    <row r="423" spans="2:4" x14ac:dyDescent="0.25">
      <c r="B423" s="1"/>
      <c r="D423" s="1"/>
    </row>
    <row r="424" spans="2:4" x14ac:dyDescent="0.25">
      <c r="B424" s="1"/>
      <c r="D424" s="1"/>
    </row>
    <row r="425" spans="2:4" x14ac:dyDescent="0.25">
      <c r="B425" s="1"/>
      <c r="D425" s="1"/>
    </row>
    <row r="426" spans="2:4" x14ac:dyDescent="0.25">
      <c r="B426" s="1"/>
      <c r="D426" s="1"/>
    </row>
    <row r="427" spans="2:4" x14ac:dyDescent="0.25">
      <c r="B427" s="1"/>
      <c r="D427" s="1"/>
    </row>
    <row r="428" spans="2:4" x14ac:dyDescent="0.25">
      <c r="B428" s="1"/>
      <c r="D428" s="1"/>
    </row>
    <row r="429" spans="2:4" x14ac:dyDescent="0.25">
      <c r="B429" s="1"/>
      <c r="D429" s="1"/>
    </row>
    <row r="430" spans="2:4" x14ac:dyDescent="0.25">
      <c r="B430" s="1"/>
      <c r="D430" s="1"/>
    </row>
    <row r="431" spans="2:4" x14ac:dyDescent="0.25">
      <c r="B431" s="1"/>
      <c r="D431" s="1"/>
    </row>
    <row r="432" spans="2:4" x14ac:dyDescent="0.25">
      <c r="B432" s="1"/>
      <c r="D432" s="1"/>
    </row>
    <row r="433" spans="2:4" x14ac:dyDescent="0.25">
      <c r="B433" s="1"/>
      <c r="D433" s="1"/>
    </row>
    <row r="434" spans="2:4" x14ac:dyDescent="0.25">
      <c r="B434" s="1"/>
      <c r="D434" s="1"/>
    </row>
    <row r="435" spans="2:4" x14ac:dyDescent="0.25">
      <c r="B435" s="1"/>
      <c r="D435" s="1"/>
    </row>
    <row r="436" spans="2:4" x14ac:dyDescent="0.25">
      <c r="B436" s="1"/>
      <c r="D436" s="1"/>
    </row>
    <row r="437" spans="2:4" x14ac:dyDescent="0.25">
      <c r="B437" s="1"/>
      <c r="D437" s="1"/>
    </row>
    <row r="438" spans="2:4" x14ac:dyDescent="0.25">
      <c r="B438" s="1"/>
      <c r="D438" s="1"/>
    </row>
    <row r="439" spans="2:4" x14ac:dyDescent="0.25">
      <c r="B439" s="1"/>
      <c r="D439" s="1"/>
    </row>
    <row r="440" spans="2:4" x14ac:dyDescent="0.25">
      <c r="B440" s="1"/>
      <c r="D440" s="1"/>
    </row>
    <row r="441" spans="2:4" x14ac:dyDescent="0.25">
      <c r="B441" s="1"/>
      <c r="D441" s="1"/>
    </row>
    <row r="442" spans="2:4" x14ac:dyDescent="0.25">
      <c r="B442" s="1"/>
      <c r="D442" s="1"/>
    </row>
    <row r="443" spans="2:4" x14ac:dyDescent="0.25">
      <c r="B443" s="1"/>
      <c r="D443" s="1"/>
    </row>
    <row r="444" spans="2:4" x14ac:dyDescent="0.25">
      <c r="B444" s="1"/>
      <c r="D444" s="1"/>
    </row>
    <row r="445" spans="2:4" x14ac:dyDescent="0.25">
      <c r="B445" s="1"/>
      <c r="D445" s="1"/>
    </row>
    <row r="446" spans="2:4" x14ac:dyDescent="0.25">
      <c r="B446" s="1"/>
      <c r="D446" s="1"/>
    </row>
    <row r="447" spans="2:4" x14ac:dyDescent="0.25">
      <c r="B447" s="1"/>
      <c r="D447" s="1"/>
    </row>
    <row r="448" spans="2:4" x14ac:dyDescent="0.25">
      <c r="B448" s="1"/>
      <c r="D448" s="1"/>
    </row>
    <row r="449" spans="2:4" x14ac:dyDescent="0.25">
      <c r="B449" s="1"/>
      <c r="D449" s="1"/>
    </row>
    <row r="450" spans="2:4" x14ac:dyDescent="0.25">
      <c r="B450" s="1"/>
      <c r="D450" s="1"/>
    </row>
    <row r="451" spans="2:4" x14ac:dyDescent="0.25">
      <c r="B451" s="1"/>
      <c r="D451" s="1"/>
    </row>
    <row r="452" spans="2:4" x14ac:dyDescent="0.25">
      <c r="B452" s="1"/>
      <c r="D452" s="1"/>
    </row>
    <row r="453" spans="2:4" x14ac:dyDescent="0.25">
      <c r="B453" s="1"/>
      <c r="D453" s="1"/>
    </row>
    <row r="454" spans="2:4" x14ac:dyDescent="0.25">
      <c r="B454" s="1"/>
      <c r="D454" s="1"/>
    </row>
    <row r="455" spans="2:4" x14ac:dyDescent="0.25">
      <c r="B455" s="1"/>
      <c r="D455" s="1"/>
    </row>
    <row r="456" spans="2:4" x14ac:dyDescent="0.25">
      <c r="B456" s="1"/>
      <c r="D456" s="1"/>
    </row>
    <row r="457" spans="2:4" x14ac:dyDescent="0.25">
      <c r="B457" s="1"/>
      <c r="D457" s="1"/>
    </row>
    <row r="458" spans="2:4" x14ac:dyDescent="0.25">
      <c r="B458" s="1"/>
      <c r="D458" s="1"/>
    </row>
    <row r="459" spans="2:4" x14ac:dyDescent="0.25">
      <c r="B459" s="1"/>
      <c r="D459" s="1"/>
    </row>
    <row r="460" spans="2:4" x14ac:dyDescent="0.25">
      <c r="B460" s="1"/>
      <c r="D460" s="1"/>
    </row>
    <row r="461" spans="2:4" x14ac:dyDescent="0.25">
      <c r="B461" s="1"/>
      <c r="D461" s="1"/>
    </row>
    <row r="462" spans="2:4" x14ac:dyDescent="0.25">
      <c r="B462" s="1"/>
      <c r="D462" s="1"/>
    </row>
    <row r="463" spans="2:4" x14ac:dyDescent="0.25">
      <c r="B463" s="1"/>
      <c r="D463" s="1"/>
    </row>
    <row r="464" spans="2:4" x14ac:dyDescent="0.25">
      <c r="B464" s="1"/>
      <c r="D464" s="1"/>
    </row>
    <row r="465" spans="2:4" x14ac:dyDescent="0.25">
      <c r="B465" s="1"/>
      <c r="D465" s="1"/>
    </row>
    <row r="466" spans="2:4" x14ac:dyDescent="0.25">
      <c r="B466" s="1"/>
      <c r="D466" s="1"/>
    </row>
    <row r="467" spans="2:4" x14ac:dyDescent="0.25">
      <c r="B467" s="1"/>
      <c r="D467" s="1"/>
    </row>
    <row r="468" spans="2:4" x14ac:dyDescent="0.25">
      <c r="B468" s="1"/>
      <c r="D468" s="1"/>
    </row>
    <row r="469" spans="2:4" x14ac:dyDescent="0.25">
      <c r="B469" s="1"/>
      <c r="D469" s="1"/>
    </row>
    <row r="470" spans="2:4" x14ac:dyDescent="0.25">
      <c r="B470" s="1"/>
      <c r="D470" s="1"/>
    </row>
    <row r="471" spans="2:4" x14ac:dyDescent="0.25">
      <c r="B471" s="1"/>
      <c r="D471" s="1"/>
    </row>
    <row r="472" spans="2:4" x14ac:dyDescent="0.25">
      <c r="B472" s="1"/>
      <c r="D472" s="1"/>
    </row>
    <row r="473" spans="2:4" x14ac:dyDescent="0.25">
      <c r="B473" s="1"/>
      <c r="D473" s="1"/>
    </row>
    <row r="474" spans="2:4" x14ac:dyDescent="0.25">
      <c r="B474" s="1"/>
      <c r="D474" s="1"/>
    </row>
    <row r="475" spans="2:4" x14ac:dyDescent="0.25">
      <c r="B475" s="1"/>
      <c r="D475" s="1"/>
    </row>
    <row r="476" spans="2:4" x14ac:dyDescent="0.25">
      <c r="B476" s="1"/>
      <c r="D476" s="1"/>
    </row>
    <row r="477" spans="2:4" x14ac:dyDescent="0.25">
      <c r="B477" s="1"/>
      <c r="D477" s="1"/>
    </row>
    <row r="478" spans="2:4" x14ac:dyDescent="0.25">
      <c r="B478" s="1"/>
      <c r="D478" s="1"/>
    </row>
    <row r="479" spans="2:4" x14ac:dyDescent="0.25">
      <c r="B479" s="1"/>
      <c r="D479" s="1"/>
    </row>
    <row r="480" spans="2:4" x14ac:dyDescent="0.25">
      <c r="B480" s="1"/>
      <c r="D480" s="1"/>
    </row>
    <row r="481" spans="2:4" x14ac:dyDescent="0.25">
      <c r="B481" s="1"/>
      <c r="D481" s="1"/>
    </row>
    <row r="482" spans="2:4" x14ac:dyDescent="0.25">
      <c r="B482" s="1"/>
      <c r="D482" s="1"/>
    </row>
    <row r="483" spans="2:4" x14ac:dyDescent="0.25">
      <c r="B483" s="1"/>
      <c r="D483" s="1"/>
    </row>
    <row r="484" spans="2:4" x14ac:dyDescent="0.25">
      <c r="B484" s="1"/>
      <c r="D484" s="1"/>
    </row>
    <row r="485" spans="2:4" x14ac:dyDescent="0.25">
      <c r="B485" s="1"/>
      <c r="D485" s="1"/>
    </row>
    <row r="486" spans="2:4" x14ac:dyDescent="0.25">
      <c r="B486" s="1"/>
      <c r="D486" s="1"/>
    </row>
    <row r="487" spans="2:4" x14ac:dyDescent="0.25">
      <c r="B487" s="1"/>
      <c r="D487" s="1"/>
    </row>
    <row r="488" spans="2:4" x14ac:dyDescent="0.25">
      <c r="B488" s="1"/>
      <c r="D488" s="1"/>
    </row>
    <row r="489" spans="2:4" x14ac:dyDescent="0.25">
      <c r="B489" s="1"/>
      <c r="D489" s="1"/>
    </row>
    <row r="490" spans="2:4" x14ac:dyDescent="0.25">
      <c r="B490" s="1"/>
      <c r="D490" s="1"/>
    </row>
    <row r="491" spans="2:4" x14ac:dyDescent="0.25">
      <c r="B491" s="1"/>
      <c r="D491" s="1"/>
    </row>
    <row r="492" spans="2:4" x14ac:dyDescent="0.25">
      <c r="B492" s="1"/>
      <c r="D492" s="1"/>
    </row>
    <row r="493" spans="2:4" x14ac:dyDescent="0.25">
      <c r="B493" s="1"/>
      <c r="D493" s="1"/>
    </row>
    <row r="494" spans="2:4" x14ac:dyDescent="0.25">
      <c r="B494" s="1"/>
      <c r="D494" s="1"/>
    </row>
    <row r="495" spans="2:4" x14ac:dyDescent="0.25">
      <c r="B495" s="1"/>
      <c r="D495" s="1"/>
    </row>
    <row r="496" spans="2:4" x14ac:dyDescent="0.25">
      <c r="B496" s="1"/>
      <c r="D496" s="1"/>
    </row>
    <row r="497" spans="2:4" x14ac:dyDescent="0.25">
      <c r="B497" s="1"/>
      <c r="D497" s="1"/>
    </row>
    <row r="498" spans="2:4" x14ac:dyDescent="0.25">
      <c r="B498" s="1"/>
      <c r="D498" s="1"/>
    </row>
    <row r="499" spans="2:4" x14ac:dyDescent="0.25">
      <c r="B499" s="1"/>
      <c r="D499" s="1"/>
    </row>
    <row r="500" spans="2:4" x14ac:dyDescent="0.25">
      <c r="B500" s="1"/>
      <c r="D500" s="1"/>
    </row>
    <row r="501" spans="2:4" x14ac:dyDescent="0.25">
      <c r="B501" s="1"/>
      <c r="D501" s="1"/>
    </row>
    <row r="502" spans="2:4" x14ac:dyDescent="0.25">
      <c r="B502" s="1"/>
      <c r="D502" s="1"/>
    </row>
    <row r="503" spans="2:4" x14ac:dyDescent="0.25">
      <c r="B503" s="1"/>
      <c r="D503" s="1"/>
    </row>
    <row r="504" spans="2:4" x14ac:dyDescent="0.25">
      <c r="B504" s="1"/>
      <c r="D504" s="1"/>
    </row>
    <row r="505" spans="2:4" x14ac:dyDescent="0.25">
      <c r="B505" s="1"/>
      <c r="D505" s="1"/>
    </row>
    <row r="506" spans="2:4" x14ac:dyDescent="0.25">
      <c r="B506" s="1"/>
      <c r="D506" s="1"/>
    </row>
    <row r="507" spans="2:4" x14ac:dyDescent="0.25">
      <c r="B507" s="1"/>
      <c r="D507" s="1"/>
    </row>
    <row r="508" spans="2:4" x14ac:dyDescent="0.25">
      <c r="B508" s="1"/>
      <c r="D508" s="1"/>
    </row>
    <row r="509" spans="2:4" x14ac:dyDescent="0.25">
      <c r="B509" s="1"/>
      <c r="D509" s="1"/>
    </row>
    <row r="510" spans="2:4" x14ac:dyDescent="0.25">
      <c r="B510" s="1"/>
      <c r="D510" s="1"/>
    </row>
    <row r="511" spans="2:4" x14ac:dyDescent="0.25">
      <c r="B511" s="1"/>
      <c r="D511" s="1"/>
    </row>
    <row r="512" spans="2:4" x14ac:dyDescent="0.25">
      <c r="B512" s="1"/>
      <c r="D512" s="1"/>
    </row>
    <row r="513" spans="2:4" x14ac:dyDescent="0.25">
      <c r="B513" s="1"/>
      <c r="D513" s="1"/>
    </row>
    <row r="514" spans="2:4" x14ac:dyDescent="0.25">
      <c r="B514" s="1"/>
      <c r="D514" s="1"/>
    </row>
    <row r="515" spans="2:4" x14ac:dyDescent="0.25">
      <c r="B515" s="1"/>
      <c r="D515" s="1"/>
    </row>
    <row r="516" spans="2:4" x14ac:dyDescent="0.25">
      <c r="B516" s="1"/>
      <c r="D516" s="1"/>
    </row>
    <row r="517" spans="2:4" x14ac:dyDescent="0.25">
      <c r="B517" s="1"/>
      <c r="D517" s="1"/>
    </row>
    <row r="518" spans="2:4" x14ac:dyDescent="0.25">
      <c r="B518" s="1"/>
      <c r="D518" s="1"/>
    </row>
    <row r="519" spans="2:4" x14ac:dyDescent="0.25">
      <c r="B519" s="1"/>
      <c r="D519" s="1"/>
    </row>
    <row r="520" spans="2:4" x14ac:dyDescent="0.25">
      <c r="B520" s="1"/>
      <c r="D520" s="1"/>
    </row>
    <row r="521" spans="2:4" x14ac:dyDescent="0.25">
      <c r="B521" s="1"/>
      <c r="D521" s="1"/>
    </row>
    <row r="522" spans="2:4" x14ac:dyDescent="0.25">
      <c r="B522" s="1"/>
      <c r="D522" s="1"/>
    </row>
    <row r="523" spans="2:4" x14ac:dyDescent="0.25">
      <c r="B523" s="1"/>
      <c r="D523" s="1"/>
    </row>
    <row r="524" spans="2:4" x14ac:dyDescent="0.25">
      <c r="B524" s="1"/>
      <c r="D524" s="1"/>
    </row>
    <row r="525" spans="2:4" x14ac:dyDescent="0.25">
      <c r="B525" s="1"/>
      <c r="D525" s="1"/>
    </row>
    <row r="526" spans="2:4" x14ac:dyDescent="0.25">
      <c r="B526" s="1"/>
      <c r="D526" s="1"/>
    </row>
    <row r="527" spans="2:4" x14ac:dyDescent="0.25">
      <c r="B527" s="1"/>
      <c r="D527" s="1"/>
    </row>
    <row r="528" spans="2:4" x14ac:dyDescent="0.25">
      <c r="B528" s="1"/>
      <c r="D528" s="1"/>
    </row>
    <row r="529" spans="2:4" x14ac:dyDescent="0.25">
      <c r="B529" s="1"/>
      <c r="D529" s="1"/>
    </row>
    <row r="530" spans="2:4" x14ac:dyDescent="0.25">
      <c r="B530" s="1"/>
      <c r="D530" s="1"/>
    </row>
    <row r="531" spans="2:4" x14ac:dyDescent="0.25">
      <c r="B531" s="1"/>
      <c r="D531" s="1"/>
    </row>
    <row r="532" spans="2:4" x14ac:dyDescent="0.25">
      <c r="B532" s="1"/>
      <c r="D532" s="1"/>
    </row>
    <row r="533" spans="2:4" x14ac:dyDescent="0.25">
      <c r="B533" s="1"/>
      <c r="D533" s="1"/>
    </row>
    <row r="534" spans="2:4" x14ac:dyDescent="0.25">
      <c r="B534" s="1"/>
      <c r="D534" s="1"/>
    </row>
    <row r="535" spans="2:4" x14ac:dyDescent="0.25">
      <c r="B535" s="1"/>
      <c r="D535" s="1"/>
    </row>
    <row r="536" spans="2:4" x14ac:dyDescent="0.25">
      <c r="B536" s="1"/>
      <c r="D536" s="1"/>
    </row>
    <row r="537" spans="2:4" x14ac:dyDescent="0.25">
      <c r="B537" s="1"/>
      <c r="D537" s="1"/>
    </row>
    <row r="538" spans="2:4" x14ac:dyDescent="0.25">
      <c r="B538" s="1"/>
      <c r="D538" s="1"/>
    </row>
    <row r="539" spans="2:4" x14ac:dyDescent="0.25">
      <c r="B539" s="1"/>
      <c r="D539" s="1"/>
    </row>
    <row r="540" spans="2:4" x14ac:dyDescent="0.25">
      <c r="B540" s="1"/>
      <c r="D540" s="1"/>
    </row>
    <row r="541" spans="2:4" x14ac:dyDescent="0.25">
      <c r="B541" s="1"/>
      <c r="D541" s="1"/>
    </row>
    <row r="542" spans="2:4" x14ac:dyDescent="0.25">
      <c r="B542" s="1"/>
      <c r="D542" s="1"/>
    </row>
    <row r="543" spans="2:4" x14ac:dyDescent="0.25">
      <c r="B543" s="1"/>
      <c r="D543" s="1"/>
    </row>
    <row r="544" spans="2:4" x14ac:dyDescent="0.25">
      <c r="B544" s="1"/>
      <c r="D544" s="1"/>
    </row>
    <row r="545" spans="2:4" x14ac:dyDescent="0.25">
      <c r="B545" s="1"/>
      <c r="D545" s="1"/>
    </row>
    <row r="546" spans="2:4" x14ac:dyDescent="0.25">
      <c r="B546" s="1"/>
      <c r="D546" s="1"/>
    </row>
    <row r="547" spans="2:4" x14ac:dyDescent="0.25">
      <c r="B547" s="1"/>
      <c r="D547" s="1"/>
    </row>
    <row r="548" spans="2:4" x14ac:dyDescent="0.25">
      <c r="B548" s="1"/>
      <c r="D548" s="1"/>
    </row>
    <row r="549" spans="2:4" x14ac:dyDescent="0.25">
      <c r="B549" s="1"/>
      <c r="D549" s="1"/>
    </row>
    <row r="550" spans="2:4" x14ac:dyDescent="0.25">
      <c r="B550" s="1"/>
      <c r="D550" s="1"/>
    </row>
    <row r="551" spans="2:4" x14ac:dyDescent="0.25">
      <c r="B551" s="1"/>
      <c r="D551" s="1"/>
    </row>
    <row r="552" spans="2:4" x14ac:dyDescent="0.25">
      <c r="B552" s="1"/>
      <c r="D552" s="1"/>
    </row>
    <row r="553" spans="2:4" x14ac:dyDescent="0.25">
      <c r="B553" s="1"/>
      <c r="D553" s="1"/>
    </row>
    <row r="554" spans="2:4" x14ac:dyDescent="0.25">
      <c r="B554" s="1"/>
      <c r="D554" s="1"/>
    </row>
    <row r="555" spans="2:4" x14ac:dyDescent="0.25">
      <c r="B555" s="1"/>
      <c r="D555" s="1"/>
    </row>
    <row r="556" spans="2:4" x14ac:dyDescent="0.25">
      <c r="B556" s="1"/>
      <c r="D556" s="1"/>
    </row>
    <row r="557" spans="2:4" x14ac:dyDescent="0.25">
      <c r="B557" s="1"/>
      <c r="D557" s="1"/>
    </row>
    <row r="558" spans="2:4" x14ac:dyDescent="0.25">
      <c r="B558" s="1"/>
      <c r="D558" s="1"/>
    </row>
    <row r="559" spans="2:4" x14ac:dyDescent="0.25">
      <c r="B559" s="1"/>
      <c r="D559" s="1"/>
    </row>
    <row r="560" spans="2:4" x14ac:dyDescent="0.25">
      <c r="B560" s="1"/>
      <c r="D560" s="1"/>
    </row>
    <row r="561" spans="2:4" x14ac:dyDescent="0.25">
      <c r="B561" s="1"/>
      <c r="D561" s="1"/>
    </row>
    <row r="562" spans="2:4" x14ac:dyDescent="0.25">
      <c r="B562" s="1"/>
      <c r="D562" s="1"/>
    </row>
    <row r="563" spans="2:4" x14ac:dyDescent="0.25">
      <c r="B563" s="1"/>
      <c r="D563" s="1"/>
    </row>
    <row r="564" spans="2:4" x14ac:dyDescent="0.25">
      <c r="B564" s="1"/>
      <c r="D564" s="1"/>
    </row>
    <row r="565" spans="2:4" x14ac:dyDescent="0.25">
      <c r="B565" s="1"/>
      <c r="D565" s="1"/>
    </row>
    <row r="566" spans="2:4" x14ac:dyDescent="0.25">
      <c r="B566" s="1"/>
      <c r="D566" s="1"/>
    </row>
    <row r="567" spans="2:4" x14ac:dyDescent="0.25">
      <c r="B567" s="1"/>
      <c r="D567" s="1"/>
    </row>
    <row r="568" spans="2:4" x14ac:dyDescent="0.25">
      <c r="B568" s="1"/>
      <c r="D568" s="1"/>
    </row>
    <row r="569" spans="2:4" x14ac:dyDescent="0.25">
      <c r="B569" s="1"/>
      <c r="D569" s="1"/>
    </row>
    <row r="570" spans="2:4" x14ac:dyDescent="0.25">
      <c r="B570" s="1"/>
      <c r="D570" s="1"/>
    </row>
    <row r="571" spans="2:4" x14ac:dyDescent="0.25">
      <c r="B571" s="1"/>
      <c r="D571" s="1"/>
    </row>
    <row r="572" spans="2:4" x14ac:dyDescent="0.25">
      <c r="B572" s="1"/>
      <c r="D572" s="1"/>
    </row>
    <row r="573" spans="2:4" x14ac:dyDescent="0.25">
      <c r="B573" s="1"/>
      <c r="D573" s="1"/>
    </row>
    <row r="574" spans="2:4" x14ac:dyDescent="0.25">
      <c r="B574" s="1"/>
      <c r="D574" s="1"/>
    </row>
    <row r="575" spans="2:4" x14ac:dyDescent="0.25">
      <c r="B575" s="1"/>
      <c r="D575" s="1"/>
    </row>
    <row r="576" spans="2:4" x14ac:dyDescent="0.25">
      <c r="B576" s="1"/>
      <c r="D576" s="1"/>
    </row>
    <row r="577" spans="2:4" x14ac:dyDescent="0.25">
      <c r="B577" s="1"/>
      <c r="D577" s="1"/>
    </row>
    <row r="578" spans="2:4" x14ac:dyDescent="0.25">
      <c r="B578" s="1"/>
      <c r="D578" s="1"/>
    </row>
    <row r="579" spans="2:4" x14ac:dyDescent="0.25">
      <c r="B579" s="1"/>
      <c r="D579" s="1"/>
    </row>
    <row r="580" spans="2:4" x14ac:dyDescent="0.25">
      <c r="B580" s="1"/>
      <c r="D580" s="1"/>
    </row>
    <row r="581" spans="2:4" x14ac:dyDescent="0.25">
      <c r="B581" s="1"/>
      <c r="D581" s="1"/>
    </row>
    <row r="582" spans="2:4" x14ac:dyDescent="0.25">
      <c r="B582" s="1"/>
      <c r="D582" s="1"/>
    </row>
    <row r="583" spans="2:4" x14ac:dyDescent="0.25">
      <c r="B583" s="1"/>
      <c r="D583" s="1"/>
    </row>
    <row r="584" spans="2:4" x14ac:dyDescent="0.25">
      <c r="B584" s="1"/>
      <c r="D584" s="1"/>
    </row>
    <row r="585" spans="2:4" x14ac:dyDescent="0.25">
      <c r="B585" s="1"/>
      <c r="D585" s="1"/>
    </row>
    <row r="586" spans="2:4" x14ac:dyDescent="0.25">
      <c r="B586" s="1"/>
      <c r="D586" s="1"/>
    </row>
    <row r="587" spans="2:4" x14ac:dyDescent="0.25">
      <c r="B587" s="1"/>
      <c r="D587" s="1"/>
    </row>
    <row r="588" spans="2:4" x14ac:dyDescent="0.25">
      <c r="B588" s="1"/>
      <c r="D588" s="1"/>
    </row>
    <row r="589" spans="2:4" x14ac:dyDescent="0.25">
      <c r="B589" s="1"/>
      <c r="D589" s="1"/>
    </row>
    <row r="590" spans="2:4" x14ac:dyDescent="0.25">
      <c r="B590" s="1"/>
      <c r="D590" s="1"/>
    </row>
    <row r="591" spans="2:4" x14ac:dyDescent="0.25">
      <c r="B591" s="1"/>
      <c r="D591" s="1"/>
    </row>
    <row r="592" spans="2:4" x14ac:dyDescent="0.25">
      <c r="B592" s="1"/>
      <c r="D592" s="1"/>
    </row>
    <row r="593" spans="2:4" x14ac:dyDescent="0.25">
      <c r="B593" s="1"/>
      <c r="D593" s="1"/>
    </row>
    <row r="594" spans="2:4" x14ac:dyDescent="0.25">
      <c r="B594" s="1"/>
      <c r="D594" s="1"/>
    </row>
    <row r="595" spans="2:4" x14ac:dyDescent="0.25">
      <c r="B595" s="1"/>
      <c r="D595" s="1"/>
    </row>
    <row r="596" spans="2:4" x14ac:dyDescent="0.25">
      <c r="B596" s="1"/>
      <c r="D596" s="1"/>
    </row>
    <row r="597" spans="2:4" x14ac:dyDescent="0.25">
      <c r="B597" s="1"/>
      <c r="D597" s="1"/>
    </row>
    <row r="598" spans="2:4" x14ac:dyDescent="0.25">
      <c r="B598" s="1"/>
      <c r="D598" s="1"/>
    </row>
    <row r="599" spans="2:4" x14ac:dyDescent="0.25">
      <c r="B599" s="1"/>
      <c r="D599" s="1"/>
    </row>
    <row r="600" spans="2:4" x14ac:dyDescent="0.25">
      <c r="B600" s="1"/>
      <c r="D600" s="1"/>
    </row>
    <row r="601" spans="2:4" x14ac:dyDescent="0.25">
      <c r="B601" s="1"/>
      <c r="D601" s="1"/>
    </row>
    <row r="602" spans="2:4" x14ac:dyDescent="0.25">
      <c r="B602" s="1"/>
      <c r="D602" s="1"/>
    </row>
    <row r="603" spans="2:4" x14ac:dyDescent="0.25">
      <c r="B603" s="1"/>
      <c r="D603" s="1"/>
    </row>
    <row r="604" spans="2:4" x14ac:dyDescent="0.25">
      <c r="B604" s="1"/>
      <c r="D604" s="1"/>
    </row>
    <row r="605" spans="2:4" x14ac:dyDescent="0.25">
      <c r="B605" s="1"/>
      <c r="D605" s="1"/>
    </row>
    <row r="606" spans="2:4" x14ac:dyDescent="0.25">
      <c r="B606" s="1"/>
      <c r="D606" s="1"/>
    </row>
    <row r="607" spans="2:4" x14ac:dyDescent="0.25">
      <c r="B607" s="1"/>
      <c r="D607" s="1"/>
    </row>
    <row r="608" spans="2:4" x14ac:dyDescent="0.25">
      <c r="B608" s="1"/>
      <c r="D608" s="1"/>
    </row>
    <row r="609" spans="2:4" x14ac:dyDescent="0.25">
      <c r="B609" s="1"/>
      <c r="D609" s="1"/>
    </row>
    <row r="610" spans="2:4" x14ac:dyDescent="0.25">
      <c r="B610" s="1"/>
      <c r="D610" s="1"/>
    </row>
    <row r="611" spans="2:4" x14ac:dyDescent="0.25">
      <c r="B611" s="1"/>
      <c r="D611" s="1"/>
    </row>
    <row r="612" spans="2:4" x14ac:dyDescent="0.25">
      <c r="B612" s="1"/>
      <c r="D612" s="1"/>
    </row>
    <row r="613" spans="2:4" x14ac:dyDescent="0.25">
      <c r="B613" s="1"/>
      <c r="D613" s="1"/>
    </row>
    <row r="614" spans="2:4" x14ac:dyDescent="0.25">
      <c r="B614" s="1"/>
      <c r="D614" s="1"/>
    </row>
    <row r="615" spans="2:4" x14ac:dyDescent="0.25">
      <c r="B615" s="1"/>
      <c r="D615" s="1"/>
    </row>
    <row r="616" spans="2:4" x14ac:dyDescent="0.25">
      <c r="B616" s="1"/>
      <c r="D616" s="1"/>
    </row>
    <row r="617" spans="2:4" x14ac:dyDescent="0.25">
      <c r="B617" s="1"/>
      <c r="D617" s="1"/>
    </row>
    <row r="618" spans="2:4" x14ac:dyDescent="0.25">
      <c r="B618" s="1"/>
      <c r="D618" s="1"/>
    </row>
    <row r="619" spans="2:4" x14ac:dyDescent="0.25">
      <c r="B619" s="1"/>
      <c r="D619" s="1"/>
    </row>
    <row r="620" spans="2:4" x14ac:dyDescent="0.25">
      <c r="B620" s="1"/>
      <c r="D620" s="1"/>
    </row>
    <row r="621" spans="2:4" x14ac:dyDescent="0.25">
      <c r="B621" s="1"/>
      <c r="D621" s="1"/>
    </row>
    <row r="622" spans="2:4" x14ac:dyDescent="0.25">
      <c r="B622" s="1"/>
      <c r="D622" s="1"/>
    </row>
    <row r="623" spans="2:4" x14ac:dyDescent="0.25">
      <c r="B623" s="1"/>
      <c r="D623" s="1"/>
    </row>
    <row r="624" spans="2:4" x14ac:dyDescent="0.25">
      <c r="B624" s="1"/>
      <c r="D624" s="1"/>
    </row>
    <row r="625" spans="2:4" x14ac:dyDescent="0.25">
      <c r="B625" s="1"/>
      <c r="D625" s="1"/>
    </row>
    <row r="626" spans="2:4" x14ac:dyDescent="0.25">
      <c r="B626" s="1"/>
      <c r="D626" s="1"/>
    </row>
    <row r="627" spans="2:4" x14ac:dyDescent="0.25">
      <c r="B627" s="1"/>
      <c r="D627" s="1"/>
    </row>
    <row r="628" spans="2:4" x14ac:dyDescent="0.25">
      <c r="B628" s="1"/>
      <c r="D628" s="1"/>
    </row>
    <row r="629" spans="2:4" x14ac:dyDescent="0.25">
      <c r="B629" s="1"/>
      <c r="D629" s="1"/>
    </row>
    <row r="630" spans="2:4" x14ac:dyDescent="0.25">
      <c r="B630" s="1"/>
      <c r="D630" s="1"/>
    </row>
    <row r="631" spans="2:4" x14ac:dyDescent="0.25">
      <c r="B631" s="1"/>
      <c r="D631" s="1"/>
    </row>
    <row r="632" spans="2:4" x14ac:dyDescent="0.25">
      <c r="B632" s="1"/>
      <c r="D632" s="1"/>
    </row>
    <row r="633" spans="2:4" x14ac:dyDescent="0.25">
      <c r="B633" s="1"/>
      <c r="D633" s="1"/>
    </row>
    <row r="634" spans="2:4" x14ac:dyDescent="0.25">
      <c r="B634" s="1"/>
      <c r="D634" s="1"/>
    </row>
    <row r="635" spans="2:4" x14ac:dyDescent="0.25">
      <c r="B635" s="1"/>
      <c r="D635" s="1"/>
    </row>
    <row r="636" spans="2:4" x14ac:dyDescent="0.25">
      <c r="B636" s="1"/>
      <c r="D636" s="1"/>
    </row>
    <row r="637" spans="2:4" x14ac:dyDescent="0.25">
      <c r="B637" s="1"/>
      <c r="D637" s="1"/>
    </row>
    <row r="638" spans="2:4" x14ac:dyDescent="0.25">
      <c r="B638" s="1"/>
      <c r="D638" s="1"/>
    </row>
    <row r="639" spans="2:4" x14ac:dyDescent="0.25">
      <c r="B639" s="1"/>
      <c r="D639" s="1"/>
    </row>
    <row r="640" spans="2:4" x14ac:dyDescent="0.25">
      <c r="B640" s="1"/>
      <c r="D640" s="1"/>
    </row>
    <row r="641" spans="2:4" x14ac:dyDescent="0.25">
      <c r="B641" s="1"/>
      <c r="D641" s="1"/>
    </row>
    <row r="642" spans="2:4" x14ac:dyDescent="0.25">
      <c r="B642" s="1"/>
      <c r="D642" s="1"/>
    </row>
    <row r="643" spans="2:4" x14ac:dyDescent="0.25">
      <c r="B643" s="1"/>
      <c r="D643" s="1"/>
    </row>
    <row r="644" spans="2:4" x14ac:dyDescent="0.25">
      <c r="B644" s="1"/>
      <c r="D644" s="1"/>
    </row>
    <row r="645" spans="2:4" x14ac:dyDescent="0.25">
      <c r="B645" s="1"/>
      <c r="D645" s="1"/>
    </row>
    <row r="646" spans="2:4" x14ac:dyDescent="0.25">
      <c r="B646" s="1"/>
      <c r="D646" s="1"/>
    </row>
    <row r="647" spans="2:4" x14ac:dyDescent="0.25">
      <c r="B647" s="1"/>
      <c r="D647" s="1"/>
    </row>
    <row r="648" spans="2:4" x14ac:dyDescent="0.25">
      <c r="B648" s="1"/>
      <c r="D648" s="1"/>
    </row>
    <row r="649" spans="2:4" x14ac:dyDescent="0.25">
      <c r="B649" s="1"/>
      <c r="D649" s="1"/>
    </row>
    <row r="650" spans="2:4" x14ac:dyDescent="0.25">
      <c r="B650" s="1"/>
      <c r="D650" s="1"/>
    </row>
    <row r="651" spans="2:4" x14ac:dyDescent="0.25">
      <c r="B651" s="1"/>
      <c r="D651" s="1"/>
    </row>
    <row r="652" spans="2:4" x14ac:dyDescent="0.25">
      <c r="B652" s="1"/>
      <c r="D652" s="1"/>
    </row>
    <row r="653" spans="2:4" x14ac:dyDescent="0.25">
      <c r="B653" s="1"/>
      <c r="D653" s="1"/>
    </row>
    <row r="654" spans="2:4" x14ac:dyDescent="0.25">
      <c r="B654" s="1"/>
      <c r="D654" s="1"/>
    </row>
    <row r="655" spans="2:4" x14ac:dyDescent="0.25">
      <c r="B655" s="1"/>
      <c r="D655" s="1"/>
    </row>
    <row r="656" spans="2:4" x14ac:dyDescent="0.25">
      <c r="B656" s="1"/>
      <c r="D656" s="1"/>
    </row>
    <row r="657" spans="2:4" x14ac:dyDescent="0.25">
      <c r="B657" s="1"/>
      <c r="D657" s="1"/>
    </row>
    <row r="658" spans="2:4" x14ac:dyDescent="0.25">
      <c r="B658" s="1"/>
      <c r="D658" s="1"/>
    </row>
    <row r="659" spans="2:4" x14ac:dyDescent="0.25">
      <c r="B659" s="1"/>
      <c r="D659" s="1"/>
    </row>
    <row r="660" spans="2:4" x14ac:dyDescent="0.25">
      <c r="B660" s="1"/>
      <c r="D660" s="1"/>
    </row>
    <row r="661" spans="2:4" x14ac:dyDescent="0.25">
      <c r="B661" s="1"/>
      <c r="D661" s="1"/>
    </row>
    <row r="662" spans="2:4" x14ac:dyDescent="0.25">
      <c r="B662" s="1"/>
      <c r="D662" s="1"/>
    </row>
    <row r="663" spans="2:4" x14ac:dyDescent="0.25">
      <c r="B663" s="1"/>
      <c r="D663" s="1"/>
    </row>
    <row r="664" spans="2:4" x14ac:dyDescent="0.25">
      <c r="B664" s="1"/>
      <c r="D664" s="1"/>
    </row>
    <row r="665" spans="2:4" x14ac:dyDescent="0.25">
      <c r="B665" s="1"/>
      <c r="D665" s="1"/>
    </row>
    <row r="666" spans="2:4" x14ac:dyDescent="0.25">
      <c r="B666" s="1"/>
      <c r="D666" s="1"/>
    </row>
    <row r="667" spans="2:4" x14ac:dyDescent="0.25">
      <c r="B667" s="1"/>
      <c r="D667" s="1"/>
    </row>
    <row r="668" spans="2:4" x14ac:dyDescent="0.25">
      <c r="B668" s="1"/>
      <c r="D668" s="1"/>
    </row>
    <row r="669" spans="2:4" x14ac:dyDescent="0.25">
      <c r="B669" s="1"/>
      <c r="D669" s="1"/>
    </row>
    <row r="670" spans="2:4" x14ac:dyDescent="0.25">
      <c r="B670" s="1"/>
      <c r="D670" s="1"/>
    </row>
    <row r="671" spans="2:4" x14ac:dyDescent="0.25">
      <c r="B671" s="1"/>
      <c r="D671" s="1"/>
    </row>
    <row r="672" spans="2:4" x14ac:dyDescent="0.25">
      <c r="B672" s="1"/>
      <c r="D672" s="1"/>
    </row>
    <row r="673" spans="2:4" x14ac:dyDescent="0.25">
      <c r="B673" s="1"/>
      <c r="D673" s="1"/>
    </row>
    <row r="674" spans="2:4" x14ac:dyDescent="0.25">
      <c r="B674" s="1"/>
      <c r="D674" s="1"/>
    </row>
    <row r="675" spans="2:4" x14ac:dyDescent="0.25">
      <c r="B675" s="1"/>
      <c r="D675" s="1"/>
    </row>
    <row r="676" spans="2:4" x14ac:dyDescent="0.25">
      <c r="B676" s="1"/>
      <c r="D676" s="1"/>
    </row>
    <row r="677" spans="2:4" x14ac:dyDescent="0.25">
      <c r="B677" s="1"/>
      <c r="D677" s="1"/>
    </row>
    <row r="678" spans="2:4" x14ac:dyDescent="0.25">
      <c r="B678" s="1"/>
      <c r="D678" s="1"/>
    </row>
    <row r="679" spans="2:4" x14ac:dyDescent="0.25">
      <c r="B679" s="1"/>
      <c r="D679" s="1"/>
    </row>
    <row r="680" spans="2:4" x14ac:dyDescent="0.25">
      <c r="B680" s="1"/>
      <c r="D680" s="1"/>
    </row>
    <row r="681" spans="2:4" x14ac:dyDescent="0.25">
      <c r="B681" s="1"/>
      <c r="D681" s="1"/>
    </row>
    <row r="682" spans="2:4" x14ac:dyDescent="0.25">
      <c r="B682" s="1"/>
      <c r="D682" s="1"/>
    </row>
    <row r="683" spans="2:4" x14ac:dyDescent="0.25">
      <c r="B683" s="1"/>
      <c r="D683" s="1"/>
    </row>
    <row r="684" spans="2:4" x14ac:dyDescent="0.25">
      <c r="B684" s="1"/>
      <c r="D684" s="1"/>
    </row>
    <row r="685" spans="2:4" x14ac:dyDescent="0.25">
      <c r="B685" s="1"/>
      <c r="D685" s="1"/>
    </row>
    <row r="686" spans="2:4" x14ac:dyDescent="0.25">
      <c r="B686" s="1"/>
      <c r="D686" s="1"/>
    </row>
    <row r="687" spans="2:4" x14ac:dyDescent="0.25">
      <c r="B687" s="1"/>
      <c r="D687" s="1"/>
    </row>
    <row r="688" spans="2:4" x14ac:dyDescent="0.25">
      <c r="B688" s="1"/>
      <c r="D688" s="1"/>
    </row>
  </sheetData>
  <conditionalFormatting sqref="G1:G1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G12">
    <cfRule type="containsText" dxfId="5" priority="3" operator="containsText" text="Win">
      <formula>NOT(ISERROR(SEARCH("Win",G2)))</formula>
    </cfRule>
    <cfRule type="colorScale" priority="4">
      <colorScale>
        <cfvo type="min"/>
        <cfvo type="max"/>
        <color rgb="FFFF7128"/>
        <color rgb="FFFFEF9C"/>
      </colorScale>
    </cfRule>
  </conditionalFormatting>
  <conditionalFormatting sqref="G5">
    <cfRule type="containsText" dxfId="4" priority="1" operator="containsText" text="Loss">
      <formula>NOT(ISERROR(SEARCH("Loss",G5)))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0D22F-1529-4225-9E72-BDE85D19946E}">
  <dimension ref="A1:K29"/>
  <sheetViews>
    <sheetView showGridLines="0" showRowColHeaders="0" topLeftCell="A7" workbookViewId="0">
      <selection activeCell="A23" sqref="A23"/>
    </sheetView>
  </sheetViews>
  <sheetFormatPr defaultRowHeight="15" x14ac:dyDescent="0.25"/>
  <cols>
    <col min="1" max="1" width="147.7109375" bestFit="1" customWidth="1"/>
  </cols>
  <sheetData>
    <row r="1" spans="1:11" ht="23.25" x14ac:dyDescent="0.35">
      <c r="A1" s="9" t="s">
        <v>25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x14ac:dyDescent="0.25">
      <c r="A2" s="8" t="s">
        <v>48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x14ac:dyDescent="0.25">
      <c r="A3" s="8" t="s">
        <v>47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8"/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7" t="s">
        <v>26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t="s">
        <v>42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6" t="s">
        <v>43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6" t="s">
        <v>44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6" t="s">
        <v>45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6"/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7" t="s">
        <v>27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6" t="s">
        <v>38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6" t="s">
        <v>39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6" t="s">
        <v>40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6" t="s">
        <v>41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6"/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7" t="s">
        <v>28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6" t="s">
        <v>46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6" t="s">
        <v>34</v>
      </c>
    </row>
    <row r="20" spans="1:11" x14ac:dyDescent="0.25">
      <c r="A20" s="6" t="s">
        <v>32</v>
      </c>
    </row>
    <row r="21" spans="1:11" x14ac:dyDescent="0.25">
      <c r="A21" s="6" t="s">
        <v>33</v>
      </c>
    </row>
    <row r="22" spans="1:11" x14ac:dyDescent="0.25">
      <c r="A22" t="s">
        <v>49</v>
      </c>
    </row>
    <row r="24" spans="1:11" x14ac:dyDescent="0.25">
      <c r="A24" s="3" t="s">
        <v>29</v>
      </c>
    </row>
    <row r="25" spans="1:11" x14ac:dyDescent="0.25">
      <c r="A25" t="s">
        <v>35</v>
      </c>
    </row>
    <row r="27" spans="1:11" x14ac:dyDescent="0.25">
      <c r="A27" s="3" t="s">
        <v>30</v>
      </c>
    </row>
    <row r="28" spans="1:11" x14ac:dyDescent="0.25">
      <c r="A28" t="s">
        <v>36</v>
      </c>
    </row>
    <row r="29" spans="1:11" x14ac:dyDescent="0.25">
      <c r="A29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spy_with_ma</vt:lpstr>
      <vt:lpstr>Trade Log</vt:lpstr>
      <vt:lpstr>README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2025-03-28T21:23:15Z</dcterms:created>
  <dcterms:modified xsi:type="dcterms:W3CDTF">2025-03-29T05:31:21Z</dcterms:modified>
</cp:coreProperties>
</file>